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paaRwb7kBwpfahuHZdj8b/I9HbnTUILKgQ5mlyswsMg="/>
    </ext>
  </extLst>
</workbook>
</file>

<file path=xl/sharedStrings.xml><?xml version="1.0" encoding="utf-8"?>
<sst xmlns="http://schemas.openxmlformats.org/spreadsheetml/2006/main" count="64" uniqueCount="60">
  <si>
    <t>tarea pendientes (60)</t>
  </si>
  <si>
    <t>horas pendientes (108)</t>
  </si>
  <si>
    <t>tarea</t>
  </si>
  <si>
    <t>esfuerzo</t>
  </si>
  <si>
    <t>Diseñar interfaz inicio sesión</t>
  </si>
  <si>
    <t>Redireccion a inicio de sesión</t>
  </si>
  <si>
    <t>Comprobar cuenta existente</t>
  </si>
  <si>
    <t>Crear formulario inicar sesión</t>
  </si>
  <si>
    <t>Evitar campos vacios</t>
  </si>
  <si>
    <t>Evitar error de inicio de sesión</t>
  </si>
  <si>
    <t>Crear formulario de subida</t>
  </si>
  <si>
    <t>Comprobar formato de documento</t>
  </si>
  <si>
    <t>Evitar error de subida</t>
  </si>
  <si>
    <t>Comprobar documento subido</t>
  </si>
  <si>
    <t>Mensaje documento subido</t>
  </si>
  <si>
    <t>Crear lista categoria</t>
  </si>
  <si>
    <t>Crear formulario de gestion documento</t>
  </si>
  <si>
    <t>Actualizar categoria documento</t>
  </si>
  <si>
    <t>Comprobar categiria guardada</t>
  </si>
  <si>
    <t>Evitar error categoria</t>
  </si>
  <si>
    <t>Implementar formulario de busqueda</t>
  </si>
  <si>
    <t>Conectar con backend</t>
  </si>
  <si>
    <t>Implementar funcion de busqueda</t>
  </si>
  <si>
    <t>Mostrar resultados de busqueda</t>
  </si>
  <si>
    <t>Mostrar paginacion / scroll</t>
  </si>
  <si>
    <t>Comprobar permisos</t>
  </si>
  <si>
    <t>Evitar error de buscador de documentos</t>
  </si>
  <si>
    <t>Implementar boton de descarga</t>
  </si>
  <si>
    <t>implemetnar logica de descarga</t>
  </si>
  <si>
    <t>mensaje de descarga</t>
  </si>
  <si>
    <t>Evirtar error descarga</t>
  </si>
  <si>
    <t>Implementar formulario de registro</t>
  </si>
  <si>
    <t>Comprobar datos</t>
  </si>
  <si>
    <t>Comprobar correo existente</t>
  </si>
  <si>
    <t>Guardar datos</t>
  </si>
  <si>
    <t>Mensaje de usuario registrado</t>
  </si>
  <si>
    <t>Evitar error de registro</t>
  </si>
  <si>
    <t>Implementar formulario de recuperacion</t>
  </si>
  <si>
    <t>Generar codigo recuperacion</t>
  </si>
  <si>
    <t>Enviar codigo recuperacion</t>
  </si>
  <si>
    <t>Diseñar interfaz de cambio de contraseña</t>
  </si>
  <si>
    <t>Validacion de codigo recuperacion</t>
  </si>
  <si>
    <t>Actualizar contraseña</t>
  </si>
  <si>
    <t>Confirmar cambio contraseña</t>
  </si>
  <si>
    <t>Evitar error de recuperacion de contraseña</t>
  </si>
  <si>
    <t>Implementar boton de visualizar</t>
  </si>
  <si>
    <t>Funcion de visualizacion</t>
  </si>
  <si>
    <t>Evitar error de visualizacion</t>
  </si>
  <si>
    <t>Comprobar formato</t>
  </si>
  <si>
    <t>Evitar error de validar</t>
  </si>
  <si>
    <t>Reintento de validar</t>
  </si>
  <si>
    <t>Registro ultima accion del usuario</t>
  </si>
  <si>
    <t>Definir tiempo maximo</t>
  </si>
  <si>
    <t>Cerrar sesion automatico</t>
  </si>
  <si>
    <t>Redirigir a inicio sesión</t>
  </si>
  <si>
    <t>Evitar error al cerrar sesión</t>
  </si>
  <si>
    <t>mostrar grafico en tiempo real</t>
  </si>
  <si>
    <t>generar grafico de estadisticas</t>
  </si>
  <si>
    <t>recalcular y actualizar grafico</t>
  </si>
  <si>
    <t>Evitar error al generar grafico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</si>
</sst>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64" xfId="0" applyFont="1" applyNumberForma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2" fillId="0" fontId="2" numFmtId="0" xfId="0" applyBorder="1" applyFont="1"/>
    <xf borderId="4" fillId="3" fontId="1" numFmtId="0" xfId="0" applyAlignment="1" applyBorder="1" applyFill="1" applyFont="1">
      <alignment shrinkToFit="0" vertical="bottom" wrapText="1"/>
    </xf>
    <xf borderId="2" fillId="4" fontId="1" numFmtId="0" xfId="0" applyBorder="1" applyFill="1" applyFont="1"/>
    <xf borderId="5" fillId="3" fontId="1" numFmtId="0" xfId="0" applyAlignment="1" applyBorder="1" applyFont="1">
      <alignment shrinkToFit="0" vertical="bottom" wrapText="1"/>
    </xf>
    <xf borderId="0" fillId="4" fontId="1" numFmtId="0" xfId="0" applyFont="1"/>
    <xf borderId="0" fillId="0" fontId="1" numFmtId="0" xfId="0" applyFont="1"/>
    <xf borderId="4" fillId="5" fontId="1" numFmtId="0" xfId="0" applyAlignment="1" applyBorder="1" applyFill="1" applyFont="1">
      <alignment shrinkToFit="0" vertical="bottom" wrapText="1"/>
    </xf>
    <xf borderId="5" fillId="5" fontId="1" numFmtId="0" xfId="0" applyAlignment="1" applyBorder="1" applyFont="1">
      <alignment shrinkToFit="0" vertical="bottom" wrapText="1"/>
    </xf>
    <xf borderId="4" fillId="6" fontId="1" numFmtId="0" xfId="0" applyAlignment="1" applyBorder="1" applyFill="1" applyFont="1">
      <alignment shrinkToFit="0" vertical="bottom" wrapText="1"/>
    </xf>
    <xf borderId="5" fillId="6" fontId="1" numFmtId="0" xfId="0" applyAlignment="1" applyBorder="1" applyFont="1">
      <alignment shrinkToFit="0" vertical="bottom" wrapText="1"/>
    </xf>
    <xf borderId="4" fillId="7" fontId="1" numFmtId="0" xfId="0" applyAlignment="1" applyBorder="1" applyFill="1" applyFont="1">
      <alignment shrinkToFit="0" vertical="bottom" wrapText="1"/>
    </xf>
    <xf borderId="5" fillId="7" fontId="1" numFmtId="0" xfId="0" applyAlignment="1" applyBorder="1" applyFont="1">
      <alignment shrinkToFit="0" vertical="bottom" wrapText="1"/>
    </xf>
    <xf borderId="6" fillId="8" fontId="1" numFmtId="0" xfId="0" applyAlignment="1" applyBorder="1" applyFill="1" applyFont="1">
      <alignment shrinkToFit="0" vertical="bottom" wrapText="1"/>
    </xf>
    <xf borderId="2" fillId="4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7" fillId="8" fontId="1" numFmtId="0" xfId="0" applyAlignment="1" applyBorder="1" applyFont="1">
      <alignment shrinkToFit="0" vertical="bottom" wrapText="1"/>
    </xf>
    <xf borderId="0" fillId="4" fontId="3" numFmtId="0" xfId="0" applyAlignment="1" applyFont="1">
      <alignment readingOrder="0"/>
    </xf>
    <xf borderId="0" fillId="0" fontId="3" numFmtId="0" xfId="0" applyAlignment="1" applyFont="1">
      <alignment readingOrder="0"/>
    </xf>
    <xf borderId="4" fillId="9" fontId="1" numFmtId="0" xfId="0" applyAlignment="1" applyBorder="1" applyFill="1" applyFont="1">
      <alignment shrinkToFit="0" vertical="bottom" wrapText="1"/>
    </xf>
    <xf borderId="5" fillId="9" fontId="1" numFmtId="0" xfId="0" applyAlignment="1" applyBorder="1" applyFont="1">
      <alignment shrinkToFit="0" vertical="bottom" wrapText="1"/>
    </xf>
    <xf borderId="4" fillId="10" fontId="1" numFmtId="0" xfId="0" applyAlignment="1" applyBorder="1" applyFill="1" applyFont="1">
      <alignment shrinkToFit="0" vertical="bottom" wrapText="1"/>
    </xf>
    <xf borderId="5" fillId="10" fontId="1" numFmtId="0" xfId="0" applyAlignment="1" applyBorder="1" applyFont="1">
      <alignment shrinkToFit="0" vertical="bottom" wrapText="1"/>
    </xf>
    <xf borderId="6" fillId="11" fontId="1" numFmtId="0" xfId="0" applyAlignment="1" applyBorder="1" applyFill="1" applyFont="1">
      <alignment shrinkToFit="0" vertical="bottom" wrapText="1"/>
    </xf>
    <xf borderId="7" fillId="11" fontId="1" numFmtId="0" xfId="0" applyAlignment="1" applyBorder="1" applyFont="1">
      <alignment shrinkToFit="0" vertical="bottom" wrapText="1"/>
    </xf>
    <xf borderId="4" fillId="12" fontId="1" numFmtId="0" xfId="0" applyAlignment="1" applyBorder="1" applyFill="1" applyFont="1">
      <alignment shrinkToFit="0" vertical="bottom" wrapText="1"/>
    </xf>
    <xf borderId="5" fillId="12" fontId="1" numFmtId="0" xfId="0" applyAlignment="1" applyBorder="1" applyFont="1">
      <alignment shrinkToFit="0" vertical="bottom" wrapText="1"/>
    </xf>
    <xf borderId="4" fillId="8" fontId="1" numFmtId="0" xfId="0" applyAlignment="1" applyBorder="1" applyFont="1">
      <alignment shrinkToFit="0" vertical="bottom" wrapText="1"/>
    </xf>
    <xf borderId="5" fillId="8" fontId="1" numFmtId="0" xfId="0" applyAlignment="1" applyBorder="1" applyFont="1">
      <alignment shrinkToFit="0" vertical="bottom" wrapText="1"/>
    </xf>
    <xf borderId="6" fillId="13" fontId="1" numFmtId="0" xfId="0" applyAlignment="1" applyBorder="1" applyFill="1" applyFont="1">
      <alignment shrinkToFit="0" vertical="bottom" wrapText="1"/>
    </xf>
    <xf borderId="7" fillId="13" fontId="1" numFmtId="0" xfId="0" applyAlignment="1" applyBorder="1" applyFont="1">
      <alignment shrinkToFit="0" vertical="bottom" wrapText="1"/>
    </xf>
    <xf borderId="0" fillId="4" fontId="1" numFmtId="0" xfId="0" applyAlignment="1" applyFont="1">
      <alignment readingOrder="0"/>
    </xf>
    <xf borderId="8" fillId="13" fontId="1" numFmtId="0" xfId="0" applyAlignment="1" applyBorder="1" applyFont="1">
      <alignment shrinkToFit="0" vertical="bottom" wrapText="1"/>
    </xf>
    <xf borderId="9" fillId="4" fontId="1" numFmtId="0" xfId="0" applyBorder="1" applyFont="1"/>
    <xf borderId="9" fillId="4" fontId="1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63"/>
    <col customWidth="1" min="2" max="29" width="7.25"/>
  </cols>
  <sheetData>
    <row r="1" ht="15.75" customHeight="1">
      <c r="A1" s="1"/>
      <c r="B1" s="2">
        <v>45795.0</v>
      </c>
      <c r="C1" s="2">
        <f t="shared" ref="C1:AC1" si="1">B1+1</f>
        <v>45796</v>
      </c>
      <c r="D1" s="2">
        <f t="shared" si="1"/>
        <v>45797</v>
      </c>
      <c r="E1" s="2">
        <f t="shared" si="1"/>
        <v>45798</v>
      </c>
      <c r="F1" s="2">
        <f t="shared" si="1"/>
        <v>45799</v>
      </c>
      <c r="G1" s="2">
        <f t="shared" si="1"/>
        <v>45800</v>
      </c>
      <c r="H1" s="2">
        <f t="shared" si="1"/>
        <v>45801</v>
      </c>
      <c r="I1" s="2">
        <f t="shared" si="1"/>
        <v>45802</v>
      </c>
      <c r="J1" s="2">
        <f t="shared" si="1"/>
        <v>45803</v>
      </c>
      <c r="K1" s="2">
        <f t="shared" si="1"/>
        <v>45804</v>
      </c>
      <c r="L1" s="2">
        <f t="shared" si="1"/>
        <v>45805</v>
      </c>
      <c r="M1" s="2">
        <f t="shared" si="1"/>
        <v>45806</v>
      </c>
      <c r="N1" s="2">
        <f t="shared" si="1"/>
        <v>45807</v>
      </c>
      <c r="O1" s="2">
        <f t="shared" si="1"/>
        <v>45808</v>
      </c>
      <c r="P1" s="2">
        <f t="shared" si="1"/>
        <v>45809</v>
      </c>
      <c r="Q1" s="2">
        <f t="shared" si="1"/>
        <v>45810</v>
      </c>
      <c r="R1" s="2">
        <f t="shared" si="1"/>
        <v>45811</v>
      </c>
      <c r="S1" s="2">
        <f t="shared" si="1"/>
        <v>45812</v>
      </c>
      <c r="T1" s="2">
        <f t="shared" si="1"/>
        <v>45813</v>
      </c>
      <c r="U1" s="2">
        <f t="shared" si="1"/>
        <v>45814</v>
      </c>
      <c r="V1" s="2">
        <f t="shared" si="1"/>
        <v>45815</v>
      </c>
      <c r="W1" s="2">
        <f t="shared" si="1"/>
        <v>45816</v>
      </c>
      <c r="X1" s="2">
        <f t="shared" si="1"/>
        <v>45817</v>
      </c>
      <c r="Y1" s="2">
        <f t="shared" si="1"/>
        <v>45818</v>
      </c>
      <c r="Z1" s="2">
        <f t="shared" si="1"/>
        <v>45819</v>
      </c>
      <c r="AA1" s="2">
        <f t="shared" si="1"/>
        <v>45820</v>
      </c>
      <c r="AB1" s="2">
        <f t="shared" si="1"/>
        <v>45821</v>
      </c>
      <c r="AC1" s="2">
        <f t="shared" si="1"/>
        <v>45822</v>
      </c>
    </row>
    <row r="2" ht="15.75" customHeight="1">
      <c r="A2" s="3" t="s">
        <v>0</v>
      </c>
      <c r="B2" s="4">
        <f>60-2</f>
        <v>58</v>
      </c>
      <c r="C2" s="5">
        <f>B2-4</f>
        <v>54</v>
      </c>
      <c r="D2" s="5">
        <f t="shared" ref="D2:E2" si="2">C2-3</f>
        <v>51</v>
      </c>
      <c r="E2" s="5">
        <f t="shared" si="2"/>
        <v>48</v>
      </c>
      <c r="F2" s="5">
        <f>E2-2</f>
        <v>46</v>
      </c>
      <c r="G2" s="5">
        <f>F2-3</f>
        <v>43</v>
      </c>
      <c r="H2" s="5">
        <f t="shared" ref="H2:I2" si="3">G2-4</f>
        <v>39</v>
      </c>
      <c r="I2" s="5">
        <f t="shared" si="3"/>
        <v>35</v>
      </c>
      <c r="J2" s="5">
        <f>I2-2</f>
        <v>33</v>
      </c>
      <c r="K2" s="5">
        <f>J2-5</f>
        <v>28</v>
      </c>
      <c r="L2" s="5">
        <f t="shared" ref="L2:M2" si="4">K2-1</f>
        <v>27</v>
      </c>
      <c r="M2" s="5">
        <f t="shared" si="4"/>
        <v>26</v>
      </c>
      <c r="N2" s="5">
        <f t="shared" ref="N2:O2" si="5">M2-2</f>
        <v>24</v>
      </c>
      <c r="O2" s="5">
        <f t="shared" si="5"/>
        <v>22</v>
      </c>
      <c r="P2" s="5">
        <f t="shared" ref="P2:Q2" si="6">O2-3</f>
        <v>19</v>
      </c>
      <c r="Q2" s="5">
        <f t="shared" si="6"/>
        <v>16</v>
      </c>
      <c r="R2" s="5">
        <f>Q2-0</f>
        <v>16</v>
      </c>
      <c r="S2" s="5">
        <f>R2-1</f>
        <v>15</v>
      </c>
      <c r="T2" s="5">
        <f>S2-0</f>
        <v>15</v>
      </c>
      <c r="U2" s="5">
        <f>T2-2</f>
        <v>13</v>
      </c>
      <c r="V2" s="5">
        <f>U2-0</f>
        <v>13</v>
      </c>
      <c r="W2" s="5">
        <f>V2-1</f>
        <v>12</v>
      </c>
      <c r="X2" s="5">
        <f>W2-3</f>
        <v>9</v>
      </c>
      <c r="Y2" s="5">
        <f>X2-1</f>
        <v>8</v>
      </c>
      <c r="Z2" s="5">
        <f t="shared" ref="Z2:AA2" si="7">Y2-2</f>
        <v>6</v>
      </c>
      <c r="AA2" s="5">
        <f t="shared" si="7"/>
        <v>4</v>
      </c>
      <c r="AB2" s="5">
        <f>AA2-0</f>
        <v>4</v>
      </c>
      <c r="AC2" s="5">
        <f>AB2-4</f>
        <v>0</v>
      </c>
    </row>
    <row r="3" ht="15.75" customHeight="1">
      <c r="A3" s="3" t="s">
        <v>1</v>
      </c>
      <c r="B3" s="6">
        <f>(SUM(B6:AC65))-(SUM(B6:B65))</f>
        <v>104</v>
      </c>
      <c r="C3" s="6">
        <f t="shared" ref="C3:AC3" si="8">B3-(SUM(C6:C65))</f>
        <v>97</v>
      </c>
      <c r="D3" s="6">
        <f t="shared" si="8"/>
        <v>90</v>
      </c>
      <c r="E3" s="6">
        <f t="shared" si="8"/>
        <v>87</v>
      </c>
      <c r="F3" s="6">
        <f t="shared" si="8"/>
        <v>81</v>
      </c>
      <c r="G3" s="6">
        <f t="shared" si="8"/>
        <v>74</v>
      </c>
      <c r="H3" s="6">
        <f t="shared" si="8"/>
        <v>65</v>
      </c>
      <c r="I3" s="6">
        <f t="shared" si="8"/>
        <v>58</v>
      </c>
      <c r="J3" s="6">
        <f t="shared" si="8"/>
        <v>54</v>
      </c>
      <c r="K3" s="6">
        <f t="shared" si="8"/>
        <v>45</v>
      </c>
      <c r="L3" s="6">
        <f t="shared" si="8"/>
        <v>44</v>
      </c>
      <c r="M3" s="6">
        <f t="shared" si="8"/>
        <v>43</v>
      </c>
      <c r="N3" s="6">
        <f t="shared" si="8"/>
        <v>41</v>
      </c>
      <c r="O3" s="6">
        <f t="shared" si="8"/>
        <v>39</v>
      </c>
      <c r="P3" s="6">
        <f t="shared" si="8"/>
        <v>31</v>
      </c>
      <c r="Q3" s="6">
        <f t="shared" si="8"/>
        <v>27</v>
      </c>
      <c r="R3" s="6">
        <f t="shared" si="8"/>
        <v>26.8</v>
      </c>
      <c r="S3" s="6">
        <f t="shared" si="8"/>
        <v>26</v>
      </c>
      <c r="T3" s="6">
        <f t="shared" si="8"/>
        <v>22.7</v>
      </c>
      <c r="U3" s="6">
        <f t="shared" si="8"/>
        <v>21</v>
      </c>
      <c r="V3" s="6">
        <f t="shared" si="8"/>
        <v>20</v>
      </c>
      <c r="W3" s="6">
        <f t="shared" si="8"/>
        <v>16.5</v>
      </c>
      <c r="X3" s="6">
        <f t="shared" si="8"/>
        <v>14</v>
      </c>
      <c r="Y3" s="6">
        <f t="shared" si="8"/>
        <v>11</v>
      </c>
      <c r="Z3" s="6">
        <f t="shared" si="8"/>
        <v>9</v>
      </c>
      <c r="AA3" s="6">
        <f t="shared" si="8"/>
        <v>5</v>
      </c>
      <c r="AB3" s="6">
        <f t="shared" si="8"/>
        <v>3</v>
      </c>
      <c r="AC3" s="6">
        <f t="shared" si="8"/>
        <v>0</v>
      </c>
    </row>
    <row r="4" ht="15.75" customHeight="1"/>
    <row r="5" ht="15.75" customHeight="1">
      <c r="A5" s="7" t="s">
        <v>2</v>
      </c>
      <c r="B5" s="8" t="s">
        <v>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5.75" customHeight="1">
      <c r="A6" s="10" t="s">
        <v>4</v>
      </c>
      <c r="B6" s="11">
        <v>2.0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5">
        <v>0.0</v>
      </c>
    </row>
    <row r="7" ht="15.75" customHeight="1">
      <c r="A7" s="12" t="s">
        <v>5</v>
      </c>
      <c r="B7" s="13">
        <v>2.0</v>
      </c>
      <c r="C7" s="14">
        <v>0.0</v>
      </c>
      <c r="D7" s="14">
        <v>0.0</v>
      </c>
      <c r="E7" s="14">
        <v>0.0</v>
      </c>
      <c r="F7" s="14">
        <v>0.0</v>
      </c>
      <c r="G7" s="14">
        <v>0.0</v>
      </c>
      <c r="H7" s="14">
        <v>0.0</v>
      </c>
      <c r="I7" s="14">
        <v>0.0</v>
      </c>
      <c r="J7" s="14">
        <v>0.0</v>
      </c>
      <c r="K7" s="14">
        <v>0.0</v>
      </c>
      <c r="L7" s="14">
        <v>0.0</v>
      </c>
      <c r="M7" s="14">
        <v>0.0</v>
      </c>
      <c r="N7" s="14">
        <v>0.0</v>
      </c>
      <c r="O7" s="14">
        <v>0.0</v>
      </c>
      <c r="P7" s="14">
        <v>0.0</v>
      </c>
      <c r="Q7" s="14">
        <v>0.0</v>
      </c>
      <c r="R7" s="14">
        <v>0.0</v>
      </c>
      <c r="S7" s="14">
        <v>0.0</v>
      </c>
      <c r="T7" s="14">
        <v>0.0</v>
      </c>
      <c r="U7" s="14">
        <v>0.0</v>
      </c>
      <c r="V7" s="14">
        <v>0.0</v>
      </c>
      <c r="W7" s="14">
        <v>0.0</v>
      </c>
      <c r="X7" s="14">
        <v>0.0</v>
      </c>
      <c r="Y7" s="14">
        <v>0.0</v>
      </c>
      <c r="Z7" s="14">
        <v>0.0</v>
      </c>
      <c r="AA7" s="14">
        <v>0.0</v>
      </c>
      <c r="AB7" s="14">
        <v>0.0</v>
      </c>
      <c r="AC7" s="14">
        <v>0.0</v>
      </c>
    </row>
    <row r="8" ht="15.75" customHeight="1">
      <c r="A8" s="12" t="s">
        <v>6</v>
      </c>
      <c r="B8" s="13">
        <v>0.0</v>
      </c>
      <c r="C8" s="13">
        <v>3.0</v>
      </c>
      <c r="D8" s="14">
        <v>0.0</v>
      </c>
      <c r="E8" s="14">
        <v>0.0</v>
      </c>
      <c r="F8" s="14">
        <v>0.0</v>
      </c>
      <c r="G8" s="14">
        <v>0.0</v>
      </c>
      <c r="H8" s="14">
        <v>0.0</v>
      </c>
      <c r="I8" s="14">
        <v>0.0</v>
      </c>
      <c r="J8" s="14">
        <v>0.0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4">
        <v>0.0</v>
      </c>
      <c r="S8" s="14">
        <v>0.0</v>
      </c>
      <c r="T8" s="14">
        <v>0.0</v>
      </c>
      <c r="U8" s="14">
        <v>0.0</v>
      </c>
      <c r="V8" s="14">
        <v>0.0</v>
      </c>
      <c r="W8" s="14">
        <v>0.0</v>
      </c>
      <c r="X8" s="14">
        <v>0.0</v>
      </c>
      <c r="Y8" s="14">
        <v>0.0</v>
      </c>
      <c r="Z8" s="14">
        <v>0.0</v>
      </c>
      <c r="AA8" s="14">
        <v>0.0</v>
      </c>
      <c r="AB8" s="14">
        <v>0.0</v>
      </c>
      <c r="AC8" s="14">
        <v>0.0</v>
      </c>
    </row>
    <row r="9" ht="15.75" customHeight="1">
      <c r="A9" s="12" t="s">
        <v>7</v>
      </c>
      <c r="B9" s="13">
        <v>0.0</v>
      </c>
      <c r="C9" s="13">
        <v>2.0</v>
      </c>
      <c r="D9" s="14">
        <v>0.0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0.0</v>
      </c>
      <c r="T9" s="14">
        <v>0.0</v>
      </c>
      <c r="U9" s="14">
        <v>0.0</v>
      </c>
      <c r="V9" s="14">
        <v>0.0</v>
      </c>
      <c r="W9" s="14">
        <v>0.0</v>
      </c>
      <c r="X9" s="14">
        <v>0.0</v>
      </c>
      <c r="Y9" s="14">
        <v>0.0</v>
      </c>
      <c r="Z9" s="14">
        <v>0.0</v>
      </c>
      <c r="AA9" s="14">
        <v>0.0</v>
      </c>
      <c r="AB9" s="14">
        <v>0.0</v>
      </c>
      <c r="AC9" s="14">
        <v>0.0</v>
      </c>
    </row>
    <row r="10" ht="15.75" customHeight="1">
      <c r="A10" s="12" t="s">
        <v>8</v>
      </c>
      <c r="B10" s="13">
        <v>0.0</v>
      </c>
      <c r="C10" s="13">
        <v>1.0</v>
      </c>
      <c r="D10" s="14">
        <v>0.0</v>
      </c>
      <c r="E10" s="14">
        <v>0.0</v>
      </c>
      <c r="F10" s="14">
        <v>0.0</v>
      </c>
      <c r="G10" s="14">
        <v>0.0</v>
      </c>
      <c r="H10" s="14">
        <v>0.0</v>
      </c>
      <c r="I10" s="14">
        <v>0.0</v>
      </c>
      <c r="J10" s="14">
        <v>0.0</v>
      </c>
      <c r="K10" s="14">
        <v>0.0</v>
      </c>
      <c r="L10" s="14">
        <v>0.0</v>
      </c>
      <c r="M10" s="14">
        <v>0.0</v>
      </c>
      <c r="N10" s="14">
        <v>0.0</v>
      </c>
      <c r="O10" s="14">
        <v>0.0</v>
      </c>
      <c r="P10" s="14">
        <v>0.0</v>
      </c>
      <c r="Q10" s="14">
        <v>0.0</v>
      </c>
      <c r="R10" s="14">
        <v>0.0</v>
      </c>
      <c r="S10" s="14">
        <v>0.0</v>
      </c>
      <c r="T10" s="14">
        <v>0.0</v>
      </c>
      <c r="U10" s="14">
        <v>0.0</v>
      </c>
      <c r="V10" s="14">
        <v>0.0</v>
      </c>
      <c r="W10" s="14">
        <v>0.0</v>
      </c>
      <c r="X10" s="14">
        <v>0.0</v>
      </c>
      <c r="Y10" s="14">
        <v>0.0</v>
      </c>
      <c r="Z10" s="14">
        <v>0.0</v>
      </c>
      <c r="AA10" s="14">
        <v>0.0</v>
      </c>
      <c r="AB10" s="14">
        <v>0.0</v>
      </c>
      <c r="AC10" s="14">
        <v>0.0</v>
      </c>
    </row>
    <row r="11" ht="15.75" customHeight="1">
      <c r="A11" s="12" t="s">
        <v>9</v>
      </c>
      <c r="B11" s="13">
        <v>0.0</v>
      </c>
      <c r="C11" s="13">
        <v>1.0</v>
      </c>
      <c r="D11" s="14">
        <v>0.0</v>
      </c>
      <c r="E11" s="14">
        <v>0.0</v>
      </c>
      <c r="F11" s="14">
        <v>0.0</v>
      </c>
      <c r="G11" s="14">
        <v>0.0</v>
      </c>
      <c r="H11" s="14">
        <v>0.0</v>
      </c>
      <c r="I11" s="14">
        <v>0.0</v>
      </c>
      <c r="J11" s="14">
        <v>0.0</v>
      </c>
      <c r="K11" s="14">
        <v>0.0</v>
      </c>
      <c r="L11" s="14">
        <v>0.0</v>
      </c>
      <c r="M11" s="14">
        <v>0.0</v>
      </c>
      <c r="N11" s="14">
        <v>0.0</v>
      </c>
      <c r="O11" s="14">
        <v>0.0</v>
      </c>
      <c r="P11" s="14">
        <v>0.0</v>
      </c>
      <c r="Q11" s="14">
        <v>0.0</v>
      </c>
      <c r="R11" s="14">
        <v>0.0</v>
      </c>
      <c r="S11" s="14">
        <v>0.0</v>
      </c>
      <c r="T11" s="14">
        <v>0.0</v>
      </c>
      <c r="U11" s="14">
        <v>0.0</v>
      </c>
      <c r="V11" s="14">
        <v>0.0</v>
      </c>
      <c r="W11" s="14">
        <v>0.0</v>
      </c>
      <c r="X11" s="14">
        <v>0.0</v>
      </c>
      <c r="Y11" s="14">
        <v>0.0</v>
      </c>
      <c r="Z11" s="14">
        <v>0.0</v>
      </c>
      <c r="AA11" s="14">
        <v>0.0</v>
      </c>
      <c r="AB11" s="14">
        <v>0.0</v>
      </c>
      <c r="AC11" s="14">
        <v>0.0</v>
      </c>
    </row>
    <row r="12" ht="15.75" customHeight="1">
      <c r="A12" s="15" t="s">
        <v>10</v>
      </c>
      <c r="B12" s="11">
        <v>0.0</v>
      </c>
      <c r="C12" s="11">
        <v>0.0</v>
      </c>
      <c r="D12" s="11">
        <v>2.0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</row>
    <row r="13" ht="15.75" customHeight="1">
      <c r="A13" s="16" t="s">
        <v>8</v>
      </c>
      <c r="B13" s="13">
        <v>0.0</v>
      </c>
      <c r="C13" s="13">
        <v>0.0</v>
      </c>
      <c r="D13" s="13">
        <v>1.0</v>
      </c>
      <c r="E13" s="14">
        <v>0.0</v>
      </c>
      <c r="F13" s="14">
        <v>0.0</v>
      </c>
      <c r="G13" s="14">
        <v>0.0</v>
      </c>
      <c r="H13" s="14">
        <v>0.0</v>
      </c>
      <c r="I13" s="14">
        <v>0.0</v>
      </c>
      <c r="J13" s="14">
        <v>0.0</v>
      </c>
      <c r="K13" s="14">
        <v>0.0</v>
      </c>
      <c r="L13" s="14">
        <v>0.0</v>
      </c>
      <c r="M13" s="14">
        <v>0.0</v>
      </c>
      <c r="N13" s="14">
        <v>0.0</v>
      </c>
      <c r="O13" s="14">
        <v>0.0</v>
      </c>
      <c r="P13" s="14">
        <v>0.0</v>
      </c>
      <c r="Q13" s="14">
        <v>0.0</v>
      </c>
      <c r="R13" s="14">
        <v>0.0</v>
      </c>
      <c r="S13" s="14">
        <v>0.0</v>
      </c>
      <c r="T13" s="14">
        <v>0.0</v>
      </c>
      <c r="U13" s="14">
        <v>0.0</v>
      </c>
      <c r="V13" s="14">
        <v>0.0</v>
      </c>
      <c r="W13" s="14">
        <v>0.0</v>
      </c>
      <c r="X13" s="14">
        <v>0.0</v>
      </c>
      <c r="Y13" s="14">
        <v>0.0</v>
      </c>
      <c r="Z13" s="14">
        <v>0.0</v>
      </c>
      <c r="AA13" s="14">
        <v>0.0</v>
      </c>
      <c r="AB13" s="14">
        <v>0.0</v>
      </c>
      <c r="AC13" s="14">
        <v>0.0</v>
      </c>
    </row>
    <row r="14" ht="15.75" customHeight="1">
      <c r="A14" s="16" t="s">
        <v>11</v>
      </c>
      <c r="B14" s="13">
        <v>0.0</v>
      </c>
      <c r="C14" s="13">
        <v>0.0</v>
      </c>
      <c r="D14" s="13">
        <v>4.0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4">
        <v>0.0</v>
      </c>
      <c r="N14" s="14">
        <v>0.0</v>
      </c>
      <c r="O14" s="14">
        <v>0.0</v>
      </c>
      <c r="P14" s="14">
        <v>0.0</v>
      </c>
      <c r="Q14" s="14">
        <v>0.0</v>
      </c>
      <c r="R14" s="14">
        <v>0.0</v>
      </c>
      <c r="S14" s="14">
        <v>0.0</v>
      </c>
      <c r="T14" s="14">
        <v>0.0</v>
      </c>
      <c r="U14" s="14">
        <v>0.0</v>
      </c>
      <c r="V14" s="14">
        <v>0.0</v>
      </c>
      <c r="W14" s="14">
        <v>0.0</v>
      </c>
      <c r="X14" s="14">
        <v>0.0</v>
      </c>
      <c r="Y14" s="14">
        <v>0.0</v>
      </c>
      <c r="Z14" s="14">
        <v>0.0</v>
      </c>
      <c r="AA14" s="14">
        <v>0.0</v>
      </c>
      <c r="AB14" s="14">
        <v>0.0</v>
      </c>
      <c r="AC14" s="14">
        <v>0.0</v>
      </c>
    </row>
    <row r="15" ht="15.75" customHeight="1">
      <c r="A15" s="16" t="s">
        <v>12</v>
      </c>
      <c r="B15" s="13">
        <v>0.0</v>
      </c>
      <c r="C15" s="13">
        <v>0.0</v>
      </c>
      <c r="D15" s="13">
        <v>0.0</v>
      </c>
      <c r="E15" s="13">
        <v>1.0</v>
      </c>
      <c r="F15" s="14">
        <v>0.0</v>
      </c>
      <c r="G15" s="14">
        <v>0.0</v>
      </c>
      <c r="H15" s="14">
        <v>0.0</v>
      </c>
      <c r="I15" s="14">
        <v>0.0</v>
      </c>
      <c r="J15" s="14">
        <v>0.0</v>
      </c>
      <c r="K15" s="14">
        <v>0.0</v>
      </c>
      <c r="L15" s="14">
        <v>0.0</v>
      </c>
      <c r="M15" s="14">
        <v>0.0</v>
      </c>
      <c r="N15" s="14">
        <v>0.0</v>
      </c>
      <c r="O15" s="14">
        <v>0.0</v>
      </c>
      <c r="P15" s="14">
        <v>0.0</v>
      </c>
      <c r="Q15" s="14">
        <v>0.0</v>
      </c>
      <c r="R15" s="14">
        <v>0.0</v>
      </c>
      <c r="S15" s="14">
        <v>0.0</v>
      </c>
      <c r="T15" s="14">
        <v>0.0</v>
      </c>
      <c r="U15" s="14">
        <v>0.0</v>
      </c>
      <c r="V15" s="14">
        <v>0.0</v>
      </c>
      <c r="W15" s="14">
        <v>0.0</v>
      </c>
      <c r="X15" s="14">
        <v>0.0</v>
      </c>
      <c r="Y15" s="14">
        <v>0.0</v>
      </c>
      <c r="Z15" s="14">
        <v>0.0</v>
      </c>
      <c r="AA15" s="14">
        <v>0.0</v>
      </c>
      <c r="AB15" s="14">
        <v>0.0</v>
      </c>
      <c r="AC15" s="14">
        <v>0.0</v>
      </c>
    </row>
    <row r="16" ht="15.75" customHeight="1">
      <c r="A16" s="16" t="s">
        <v>13</v>
      </c>
      <c r="B16" s="13">
        <v>0.0</v>
      </c>
      <c r="C16" s="13">
        <v>0.0</v>
      </c>
      <c r="D16" s="13">
        <v>0.0</v>
      </c>
      <c r="E16" s="13">
        <v>1.0</v>
      </c>
      <c r="F16" s="14">
        <v>0.0</v>
      </c>
      <c r="G16" s="14">
        <v>0.0</v>
      </c>
      <c r="H16" s="14">
        <v>0.0</v>
      </c>
      <c r="I16" s="14">
        <v>0.0</v>
      </c>
      <c r="J16" s="14">
        <v>0.0</v>
      </c>
      <c r="K16" s="14">
        <v>0.0</v>
      </c>
      <c r="L16" s="14">
        <v>0.0</v>
      </c>
      <c r="M16" s="14">
        <v>0.0</v>
      </c>
      <c r="N16" s="14">
        <v>0.0</v>
      </c>
      <c r="O16" s="14">
        <v>0.0</v>
      </c>
      <c r="P16" s="14">
        <v>0.0</v>
      </c>
      <c r="Q16" s="14">
        <v>0.0</v>
      </c>
      <c r="R16" s="14">
        <v>0.0</v>
      </c>
      <c r="S16" s="14">
        <v>0.0</v>
      </c>
      <c r="T16" s="14">
        <v>0.0</v>
      </c>
      <c r="U16" s="14">
        <v>0.0</v>
      </c>
      <c r="V16" s="14">
        <v>0.0</v>
      </c>
      <c r="W16" s="14">
        <v>0.0</v>
      </c>
      <c r="X16" s="14">
        <v>0.0</v>
      </c>
      <c r="Y16" s="14">
        <v>0.0</v>
      </c>
      <c r="Z16" s="14">
        <v>0.0</v>
      </c>
      <c r="AA16" s="14">
        <v>0.0</v>
      </c>
      <c r="AB16" s="14">
        <v>0.0</v>
      </c>
      <c r="AC16" s="14">
        <v>0.0</v>
      </c>
    </row>
    <row r="17" ht="15.75" customHeight="1">
      <c r="A17" s="16" t="s">
        <v>14</v>
      </c>
      <c r="B17" s="13">
        <v>0.0</v>
      </c>
      <c r="C17" s="13">
        <v>0.0</v>
      </c>
      <c r="D17" s="13">
        <v>0.0</v>
      </c>
      <c r="E17" s="13">
        <v>1.0</v>
      </c>
      <c r="F17" s="14">
        <v>0.0</v>
      </c>
      <c r="G17" s="14">
        <v>0.0</v>
      </c>
      <c r="H17" s="14">
        <v>0.0</v>
      </c>
      <c r="I17" s="14">
        <v>0.0</v>
      </c>
      <c r="J17" s="14">
        <v>0.0</v>
      </c>
      <c r="K17" s="14">
        <v>0.0</v>
      </c>
      <c r="L17" s="14">
        <v>0.0</v>
      </c>
      <c r="M17" s="14">
        <v>0.0</v>
      </c>
      <c r="N17" s="14">
        <v>0.0</v>
      </c>
      <c r="O17" s="14">
        <v>0.0</v>
      </c>
      <c r="P17" s="14">
        <v>0.0</v>
      </c>
      <c r="Q17" s="14">
        <v>0.0</v>
      </c>
      <c r="R17" s="14">
        <v>0.0</v>
      </c>
      <c r="S17" s="14">
        <v>0.0</v>
      </c>
      <c r="T17" s="14">
        <v>0.0</v>
      </c>
      <c r="U17" s="14">
        <v>0.0</v>
      </c>
      <c r="V17" s="14">
        <v>0.0</v>
      </c>
      <c r="W17" s="14">
        <v>0.0</v>
      </c>
      <c r="X17" s="14">
        <v>0.0</v>
      </c>
      <c r="Y17" s="14">
        <v>0.0</v>
      </c>
      <c r="Z17" s="14">
        <v>0.0</v>
      </c>
      <c r="AA17" s="14">
        <v>0.0</v>
      </c>
      <c r="AB17" s="14">
        <v>0.0</v>
      </c>
      <c r="AC17" s="14">
        <v>0.0</v>
      </c>
    </row>
    <row r="18" ht="15.75" customHeight="1">
      <c r="A18" s="17" t="s">
        <v>15</v>
      </c>
      <c r="B18" s="11">
        <v>0.0</v>
      </c>
      <c r="C18" s="11">
        <v>0.0</v>
      </c>
      <c r="D18" s="11">
        <v>0.0</v>
      </c>
      <c r="E18" s="11">
        <v>0.0</v>
      </c>
      <c r="F18" s="11">
        <v>3.0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</row>
    <row r="19" ht="15.75" customHeight="1">
      <c r="A19" s="18" t="s">
        <v>16</v>
      </c>
      <c r="B19" s="13">
        <v>0.0</v>
      </c>
      <c r="C19" s="13">
        <v>0.0</v>
      </c>
      <c r="D19" s="13">
        <v>0.0</v>
      </c>
      <c r="E19" s="13">
        <v>0.0</v>
      </c>
      <c r="F19" s="13">
        <v>3.0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4">
        <v>0.0</v>
      </c>
      <c r="P19" s="14">
        <v>0.0</v>
      </c>
      <c r="Q19" s="14">
        <v>0.0</v>
      </c>
      <c r="R19" s="14">
        <v>0.0</v>
      </c>
      <c r="S19" s="14">
        <v>0.0</v>
      </c>
      <c r="T19" s="14">
        <v>0.0</v>
      </c>
      <c r="U19" s="14">
        <v>0.0</v>
      </c>
      <c r="V19" s="14">
        <v>0.0</v>
      </c>
      <c r="W19" s="14">
        <v>0.0</v>
      </c>
      <c r="X19" s="14">
        <v>0.0</v>
      </c>
      <c r="Y19" s="14">
        <v>0.0</v>
      </c>
      <c r="Z19" s="14">
        <v>0.0</v>
      </c>
      <c r="AA19" s="14">
        <v>0.0</v>
      </c>
      <c r="AB19" s="14">
        <v>0.0</v>
      </c>
      <c r="AC19" s="14">
        <v>0.0</v>
      </c>
    </row>
    <row r="20" ht="15.75" customHeight="1">
      <c r="A20" s="18" t="s">
        <v>17</v>
      </c>
      <c r="B20" s="13">
        <v>0.0</v>
      </c>
      <c r="C20" s="13">
        <v>0.0</v>
      </c>
      <c r="D20" s="13">
        <v>0.0</v>
      </c>
      <c r="E20" s="13">
        <v>0.0</v>
      </c>
      <c r="F20" s="13">
        <v>0.0</v>
      </c>
      <c r="G20" s="13">
        <v>4.0</v>
      </c>
      <c r="H20" s="14">
        <v>0.0</v>
      </c>
      <c r="I20" s="14">
        <v>0.0</v>
      </c>
      <c r="J20" s="14">
        <v>0.0</v>
      </c>
      <c r="K20" s="14">
        <v>0.0</v>
      </c>
      <c r="L20" s="14">
        <v>0.0</v>
      </c>
      <c r="M20" s="14">
        <v>0.0</v>
      </c>
      <c r="N20" s="14">
        <v>0.0</v>
      </c>
      <c r="O20" s="14">
        <v>0.0</v>
      </c>
      <c r="P20" s="14">
        <v>0.0</v>
      </c>
      <c r="Q20" s="14">
        <v>0.0</v>
      </c>
      <c r="R20" s="14">
        <v>0.0</v>
      </c>
      <c r="S20" s="14">
        <v>0.0</v>
      </c>
      <c r="T20" s="14">
        <v>0.0</v>
      </c>
      <c r="U20" s="14">
        <v>0.0</v>
      </c>
      <c r="V20" s="14">
        <v>0.0</v>
      </c>
      <c r="W20" s="14">
        <v>0.0</v>
      </c>
      <c r="X20" s="14">
        <v>0.0</v>
      </c>
      <c r="Y20" s="14">
        <v>0.0</v>
      </c>
      <c r="Z20" s="14">
        <v>0.0</v>
      </c>
      <c r="AA20" s="14">
        <v>0.0</v>
      </c>
      <c r="AB20" s="14">
        <v>0.0</v>
      </c>
      <c r="AC20" s="14">
        <v>0.0</v>
      </c>
    </row>
    <row r="21" ht="15.75" customHeight="1">
      <c r="A21" s="18" t="s">
        <v>18</v>
      </c>
      <c r="B21" s="13">
        <v>0.0</v>
      </c>
      <c r="C21" s="13">
        <v>0.0</v>
      </c>
      <c r="D21" s="13">
        <v>0.0</v>
      </c>
      <c r="E21" s="13">
        <v>0.0</v>
      </c>
      <c r="F21" s="13">
        <v>0.0</v>
      </c>
      <c r="G21" s="13">
        <v>2.0</v>
      </c>
      <c r="H21" s="14">
        <v>0.0</v>
      </c>
      <c r="I21" s="14">
        <v>0.0</v>
      </c>
      <c r="J21" s="14">
        <v>0.0</v>
      </c>
      <c r="K21" s="14">
        <v>0.0</v>
      </c>
      <c r="L21" s="14">
        <v>0.0</v>
      </c>
      <c r="M21" s="14">
        <v>0.0</v>
      </c>
      <c r="N21" s="14">
        <v>0.0</v>
      </c>
      <c r="O21" s="14">
        <v>0.0</v>
      </c>
      <c r="P21" s="14">
        <v>0.0</v>
      </c>
      <c r="Q21" s="14">
        <v>0.0</v>
      </c>
      <c r="R21" s="14">
        <v>0.0</v>
      </c>
      <c r="S21" s="14">
        <v>0.0</v>
      </c>
      <c r="T21" s="14">
        <v>0.0</v>
      </c>
      <c r="U21" s="14">
        <v>0.0</v>
      </c>
      <c r="V21" s="14">
        <v>0.0</v>
      </c>
      <c r="W21" s="14">
        <v>0.0</v>
      </c>
      <c r="X21" s="14">
        <v>0.0</v>
      </c>
      <c r="Y21" s="14">
        <v>0.0</v>
      </c>
      <c r="Z21" s="14">
        <v>0.0</v>
      </c>
      <c r="AA21" s="14">
        <v>0.0</v>
      </c>
      <c r="AB21" s="14">
        <v>0.0</v>
      </c>
      <c r="AC21" s="14">
        <v>0.0</v>
      </c>
    </row>
    <row r="22" ht="15.75" customHeight="1">
      <c r="A22" s="18" t="s">
        <v>19</v>
      </c>
      <c r="B22" s="13">
        <v>0.0</v>
      </c>
      <c r="C22" s="13">
        <v>0.0</v>
      </c>
      <c r="D22" s="13">
        <v>0.0</v>
      </c>
      <c r="E22" s="13">
        <v>0.0</v>
      </c>
      <c r="F22" s="13">
        <v>0.0</v>
      </c>
      <c r="G22" s="13">
        <v>1.0</v>
      </c>
      <c r="H22" s="14">
        <v>0.0</v>
      </c>
      <c r="I22" s="14">
        <v>0.0</v>
      </c>
      <c r="J22" s="14">
        <v>0.0</v>
      </c>
      <c r="K22" s="14">
        <v>0.0</v>
      </c>
      <c r="L22" s="14">
        <v>0.0</v>
      </c>
      <c r="M22" s="14">
        <v>0.0</v>
      </c>
      <c r="N22" s="14">
        <v>0.0</v>
      </c>
      <c r="O22" s="14">
        <v>0.0</v>
      </c>
      <c r="P22" s="14">
        <v>0.0</v>
      </c>
      <c r="Q22" s="14">
        <v>0.0</v>
      </c>
      <c r="R22" s="14">
        <v>0.0</v>
      </c>
      <c r="S22" s="14">
        <v>0.0</v>
      </c>
      <c r="T22" s="14">
        <v>0.0</v>
      </c>
      <c r="U22" s="14">
        <v>0.0</v>
      </c>
      <c r="V22" s="14">
        <v>0.0</v>
      </c>
      <c r="W22" s="14">
        <v>0.0</v>
      </c>
      <c r="X22" s="14">
        <v>0.0</v>
      </c>
      <c r="Y22" s="14">
        <v>0.0</v>
      </c>
      <c r="Z22" s="14">
        <v>0.0</v>
      </c>
      <c r="AA22" s="14">
        <v>0.0</v>
      </c>
      <c r="AB22" s="14">
        <v>0.0</v>
      </c>
      <c r="AC22" s="14">
        <v>0.0</v>
      </c>
    </row>
    <row r="23" ht="15.75" customHeight="1">
      <c r="A23" s="19" t="s">
        <v>20</v>
      </c>
      <c r="B23" s="11">
        <v>0.0</v>
      </c>
      <c r="C23" s="11">
        <v>0.0</v>
      </c>
      <c r="D23" s="11">
        <v>0.0</v>
      </c>
      <c r="E23" s="11">
        <v>0.0</v>
      </c>
      <c r="F23" s="11">
        <v>0.0</v>
      </c>
      <c r="G23" s="11">
        <v>0.0</v>
      </c>
      <c r="H23" s="11">
        <v>2.0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</row>
    <row r="24" ht="15.75" customHeight="1">
      <c r="A24" s="20" t="s">
        <v>21</v>
      </c>
      <c r="B24" s="13">
        <v>0.0</v>
      </c>
      <c r="C24" s="13">
        <v>0.0</v>
      </c>
      <c r="D24" s="13">
        <v>0.0</v>
      </c>
      <c r="E24" s="13">
        <v>0.0</v>
      </c>
      <c r="F24" s="13">
        <v>0.0</v>
      </c>
      <c r="G24" s="13">
        <v>0.0</v>
      </c>
      <c r="H24" s="13">
        <v>1.0</v>
      </c>
      <c r="I24" s="14">
        <v>0.0</v>
      </c>
      <c r="J24" s="14">
        <v>0.0</v>
      </c>
      <c r="K24" s="14">
        <v>0.0</v>
      </c>
      <c r="L24" s="14">
        <v>0.0</v>
      </c>
      <c r="M24" s="14">
        <v>0.0</v>
      </c>
      <c r="N24" s="14">
        <v>0.0</v>
      </c>
      <c r="O24" s="14">
        <v>0.0</v>
      </c>
      <c r="P24" s="14">
        <v>0.0</v>
      </c>
      <c r="Q24" s="14">
        <v>0.0</v>
      </c>
      <c r="R24" s="14">
        <v>0.0</v>
      </c>
      <c r="S24" s="14">
        <v>0.0</v>
      </c>
      <c r="T24" s="14">
        <v>0.0</v>
      </c>
      <c r="U24" s="14">
        <v>0.0</v>
      </c>
      <c r="V24" s="14">
        <v>0.0</v>
      </c>
      <c r="W24" s="14">
        <v>0.0</v>
      </c>
      <c r="X24" s="14">
        <v>0.0</v>
      </c>
      <c r="Y24" s="14">
        <v>0.0</v>
      </c>
      <c r="Z24" s="14">
        <v>0.0</v>
      </c>
      <c r="AA24" s="14">
        <v>0.0</v>
      </c>
      <c r="AB24" s="14">
        <v>0.0</v>
      </c>
      <c r="AC24" s="14">
        <v>0.0</v>
      </c>
    </row>
    <row r="25" ht="15.75" customHeight="1">
      <c r="A25" s="20" t="s">
        <v>22</v>
      </c>
      <c r="B25" s="13">
        <v>0.0</v>
      </c>
      <c r="C25" s="13">
        <v>0.0</v>
      </c>
      <c r="D25" s="13">
        <v>0.0</v>
      </c>
      <c r="E25" s="13">
        <v>0.0</v>
      </c>
      <c r="F25" s="13">
        <v>0.0</v>
      </c>
      <c r="G25" s="13">
        <v>0.0</v>
      </c>
      <c r="H25" s="13">
        <v>3.0</v>
      </c>
      <c r="I25" s="14">
        <v>0.0</v>
      </c>
      <c r="J25" s="14">
        <v>0.0</v>
      </c>
      <c r="K25" s="14">
        <v>0.0</v>
      </c>
      <c r="L25" s="14">
        <v>0.0</v>
      </c>
      <c r="M25" s="14">
        <v>0.0</v>
      </c>
      <c r="N25" s="14">
        <v>0.0</v>
      </c>
      <c r="O25" s="14">
        <v>0.0</v>
      </c>
      <c r="P25" s="14">
        <v>0.0</v>
      </c>
      <c r="Q25" s="14">
        <v>0.0</v>
      </c>
      <c r="R25" s="14">
        <v>0.0</v>
      </c>
      <c r="S25" s="14">
        <v>0.0</v>
      </c>
      <c r="T25" s="14">
        <v>0.0</v>
      </c>
      <c r="U25" s="14">
        <v>0.0</v>
      </c>
      <c r="V25" s="14">
        <v>0.0</v>
      </c>
      <c r="W25" s="14">
        <v>0.0</v>
      </c>
      <c r="X25" s="14">
        <v>0.0</v>
      </c>
      <c r="Y25" s="14">
        <v>0.0</v>
      </c>
      <c r="Z25" s="14">
        <v>0.0</v>
      </c>
      <c r="AA25" s="14">
        <v>0.0</v>
      </c>
      <c r="AB25" s="14">
        <v>0.0</v>
      </c>
      <c r="AC25" s="14">
        <v>0.0</v>
      </c>
    </row>
    <row r="26" ht="15.75" customHeight="1">
      <c r="A26" s="20" t="s">
        <v>23</v>
      </c>
      <c r="B26" s="13">
        <v>0.0</v>
      </c>
      <c r="C26" s="13">
        <v>0.0</v>
      </c>
      <c r="D26" s="13">
        <v>0.0</v>
      </c>
      <c r="E26" s="13">
        <v>0.0</v>
      </c>
      <c r="F26" s="13">
        <v>0.0</v>
      </c>
      <c r="G26" s="13">
        <v>0.0</v>
      </c>
      <c r="H26" s="13">
        <v>3.0</v>
      </c>
      <c r="I26" s="14">
        <v>0.0</v>
      </c>
      <c r="J26" s="14">
        <v>0.0</v>
      </c>
      <c r="K26" s="14">
        <v>0.0</v>
      </c>
      <c r="L26" s="14">
        <v>0.0</v>
      </c>
      <c r="M26" s="14">
        <v>0.0</v>
      </c>
      <c r="N26" s="14">
        <v>0.0</v>
      </c>
      <c r="O26" s="14">
        <v>0.0</v>
      </c>
      <c r="P26" s="14">
        <v>0.0</v>
      </c>
      <c r="Q26" s="14">
        <v>0.0</v>
      </c>
      <c r="R26" s="14">
        <v>0.0</v>
      </c>
      <c r="S26" s="14">
        <v>0.0</v>
      </c>
      <c r="T26" s="14">
        <v>0.0</v>
      </c>
      <c r="U26" s="14">
        <v>0.0</v>
      </c>
      <c r="V26" s="14">
        <v>0.0</v>
      </c>
      <c r="W26" s="14">
        <v>0.0</v>
      </c>
      <c r="X26" s="14">
        <v>0.0</v>
      </c>
      <c r="Y26" s="14">
        <v>0.0</v>
      </c>
      <c r="Z26" s="14">
        <v>0.0</v>
      </c>
      <c r="AA26" s="14">
        <v>0.0</v>
      </c>
      <c r="AB26" s="14">
        <v>0.0</v>
      </c>
      <c r="AC26" s="14">
        <v>0.0</v>
      </c>
    </row>
    <row r="27" ht="15.75" customHeight="1">
      <c r="A27" s="20" t="s">
        <v>24</v>
      </c>
      <c r="B27" s="13">
        <v>0.0</v>
      </c>
      <c r="C27" s="13">
        <v>0.0</v>
      </c>
      <c r="D27" s="13">
        <v>0.0</v>
      </c>
      <c r="E27" s="13">
        <v>0.0</v>
      </c>
      <c r="F27" s="13">
        <v>0.0</v>
      </c>
      <c r="G27" s="13">
        <v>0.0</v>
      </c>
      <c r="H27" s="13">
        <v>0.0</v>
      </c>
      <c r="I27" s="13">
        <v>2.0</v>
      </c>
      <c r="J27" s="14">
        <v>0.0</v>
      </c>
      <c r="K27" s="14">
        <v>0.0</v>
      </c>
      <c r="L27" s="14">
        <v>0.0</v>
      </c>
      <c r="M27" s="14">
        <v>0.0</v>
      </c>
      <c r="N27" s="14">
        <v>0.0</v>
      </c>
      <c r="O27" s="14">
        <v>0.0</v>
      </c>
      <c r="P27" s="14">
        <v>0.0</v>
      </c>
      <c r="Q27" s="14">
        <v>0.0</v>
      </c>
      <c r="R27" s="14">
        <v>0.0</v>
      </c>
      <c r="S27" s="14">
        <v>0.0</v>
      </c>
      <c r="T27" s="14">
        <v>0.0</v>
      </c>
      <c r="U27" s="14">
        <v>0.0</v>
      </c>
      <c r="V27" s="14">
        <v>0.0</v>
      </c>
      <c r="W27" s="14">
        <v>0.0</v>
      </c>
      <c r="X27" s="14">
        <v>0.0</v>
      </c>
      <c r="Y27" s="14">
        <v>0.0</v>
      </c>
      <c r="Z27" s="14">
        <v>0.0</v>
      </c>
      <c r="AA27" s="14">
        <v>0.0</v>
      </c>
      <c r="AB27" s="14">
        <v>0.0</v>
      </c>
      <c r="AC27" s="14">
        <v>0.0</v>
      </c>
    </row>
    <row r="28" ht="15.75" customHeight="1">
      <c r="A28" s="20" t="s">
        <v>25</v>
      </c>
      <c r="B28" s="13">
        <v>0.0</v>
      </c>
      <c r="C28" s="13">
        <v>0.0</v>
      </c>
      <c r="D28" s="13">
        <v>0.0</v>
      </c>
      <c r="E28" s="13">
        <v>0.0</v>
      </c>
      <c r="F28" s="13">
        <v>0.0</v>
      </c>
      <c r="G28" s="13">
        <v>0.0</v>
      </c>
      <c r="H28" s="13">
        <v>0.0</v>
      </c>
      <c r="I28" s="13">
        <v>2.0</v>
      </c>
      <c r="J28" s="14">
        <v>0.0</v>
      </c>
      <c r="K28" s="14">
        <v>0.0</v>
      </c>
      <c r="L28" s="14">
        <v>0.0</v>
      </c>
      <c r="M28" s="14">
        <v>0.0</v>
      </c>
      <c r="N28" s="14">
        <v>0.0</v>
      </c>
      <c r="O28" s="14">
        <v>0.0</v>
      </c>
      <c r="P28" s="14">
        <v>0.0</v>
      </c>
      <c r="Q28" s="14">
        <v>0.0</v>
      </c>
      <c r="R28" s="14">
        <v>0.0</v>
      </c>
      <c r="S28" s="14">
        <v>0.0</v>
      </c>
      <c r="T28" s="14">
        <v>0.0</v>
      </c>
      <c r="U28" s="14">
        <v>0.0</v>
      </c>
      <c r="V28" s="14">
        <v>0.0</v>
      </c>
      <c r="W28" s="14">
        <v>0.0</v>
      </c>
      <c r="X28" s="14">
        <v>0.0</v>
      </c>
      <c r="Y28" s="14">
        <v>0.0</v>
      </c>
      <c r="Z28" s="14">
        <v>0.0</v>
      </c>
      <c r="AA28" s="14">
        <v>0.0</v>
      </c>
      <c r="AB28" s="14">
        <v>0.0</v>
      </c>
      <c r="AC28" s="14">
        <v>0.0</v>
      </c>
    </row>
    <row r="29" ht="15.75" customHeight="1">
      <c r="A29" s="20" t="s">
        <v>8</v>
      </c>
      <c r="B29" s="13">
        <v>0.0</v>
      </c>
      <c r="C29" s="13">
        <v>0.0</v>
      </c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2.0</v>
      </c>
      <c r="J29" s="14">
        <v>0.0</v>
      </c>
      <c r="K29" s="14">
        <v>0.0</v>
      </c>
      <c r="L29" s="14">
        <v>0.0</v>
      </c>
      <c r="M29" s="14">
        <v>0.0</v>
      </c>
      <c r="N29" s="14">
        <v>0.0</v>
      </c>
      <c r="O29" s="14">
        <v>0.0</v>
      </c>
      <c r="Q29" s="14">
        <v>0.0</v>
      </c>
      <c r="R29" s="14">
        <v>0.0</v>
      </c>
      <c r="S29" s="14">
        <v>0.0</v>
      </c>
      <c r="T29" s="14">
        <v>0.0</v>
      </c>
      <c r="U29" s="14">
        <v>0.0</v>
      </c>
      <c r="V29" s="14">
        <v>0.0</v>
      </c>
      <c r="W29" s="14">
        <v>0.0</v>
      </c>
      <c r="X29" s="14">
        <v>0.0</v>
      </c>
      <c r="Y29" s="14">
        <v>0.0</v>
      </c>
      <c r="Z29" s="14">
        <v>0.0</v>
      </c>
      <c r="AA29" s="14">
        <v>0.0</v>
      </c>
      <c r="AB29" s="14">
        <v>0.0</v>
      </c>
      <c r="AC29" s="14">
        <v>0.0</v>
      </c>
    </row>
    <row r="30" ht="15.75" customHeight="1">
      <c r="A30" s="20" t="s">
        <v>26</v>
      </c>
      <c r="B30" s="13">
        <v>0.0</v>
      </c>
      <c r="C30" s="13">
        <v>0.0</v>
      </c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1.0</v>
      </c>
      <c r="J30" s="14">
        <v>0.0</v>
      </c>
      <c r="K30" s="14">
        <v>0.0</v>
      </c>
      <c r="L30" s="14">
        <v>0.0</v>
      </c>
      <c r="M30" s="14">
        <v>0.0</v>
      </c>
      <c r="N30" s="14">
        <v>0.0</v>
      </c>
      <c r="O30" s="14">
        <v>0.0</v>
      </c>
      <c r="P30" s="14">
        <v>0.0</v>
      </c>
      <c r="Q30" s="14">
        <v>0.0</v>
      </c>
      <c r="R30" s="14">
        <v>0.0</v>
      </c>
      <c r="S30" s="14">
        <v>0.0</v>
      </c>
      <c r="T30" s="14">
        <v>0.0</v>
      </c>
      <c r="U30" s="14">
        <v>0.0</v>
      </c>
      <c r="V30" s="14">
        <v>0.0</v>
      </c>
      <c r="W30" s="14">
        <v>0.0</v>
      </c>
      <c r="X30" s="14">
        <v>0.0</v>
      </c>
      <c r="Y30" s="14">
        <v>0.0</v>
      </c>
      <c r="Z30" s="14">
        <v>0.0</v>
      </c>
      <c r="AA30" s="14">
        <v>0.0</v>
      </c>
      <c r="AB30" s="14">
        <v>0.0</v>
      </c>
      <c r="AC30" s="14">
        <v>0.0</v>
      </c>
    </row>
    <row r="31" ht="15.75" customHeight="1">
      <c r="A31" s="21" t="s">
        <v>27</v>
      </c>
      <c r="B31" s="22">
        <v>0.0</v>
      </c>
      <c r="C31" s="22">
        <v>0.0</v>
      </c>
      <c r="D31" s="22">
        <v>0.0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2">
        <v>1.0</v>
      </c>
      <c r="K31" s="23">
        <v>0.0</v>
      </c>
      <c r="L31" s="23">
        <v>0.0</v>
      </c>
      <c r="M31" s="23">
        <v>0.0</v>
      </c>
      <c r="N31" s="23">
        <v>0.0</v>
      </c>
      <c r="O31" s="23">
        <v>0.0</v>
      </c>
      <c r="P31" s="23">
        <v>0.0</v>
      </c>
      <c r="Q31" s="23">
        <v>0.0</v>
      </c>
      <c r="R31" s="23">
        <v>0.0</v>
      </c>
      <c r="S31" s="23">
        <v>0.0</v>
      </c>
      <c r="T31" s="23">
        <v>0.0</v>
      </c>
      <c r="U31" s="23">
        <v>0.0</v>
      </c>
      <c r="V31" s="23">
        <v>0.0</v>
      </c>
      <c r="W31" s="23">
        <v>0.0</v>
      </c>
      <c r="X31" s="23">
        <v>0.0</v>
      </c>
      <c r="Y31" s="23">
        <v>0.0</v>
      </c>
      <c r="Z31" s="23">
        <v>0.0</v>
      </c>
      <c r="AA31" s="23">
        <v>0.0</v>
      </c>
      <c r="AB31" s="23">
        <v>0.0</v>
      </c>
      <c r="AC31" s="23">
        <v>0.0</v>
      </c>
    </row>
    <row r="32" ht="15.75" customHeight="1">
      <c r="A32" s="24" t="s">
        <v>28</v>
      </c>
      <c r="B32" s="13">
        <v>0.0</v>
      </c>
      <c r="C32" s="13">
        <v>0.0</v>
      </c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25">
        <v>1.0</v>
      </c>
      <c r="K32" s="25">
        <v>1.0</v>
      </c>
      <c r="L32" s="26">
        <v>0.0</v>
      </c>
      <c r="M32" s="26">
        <v>0.0</v>
      </c>
      <c r="N32" s="26">
        <v>0.0</v>
      </c>
      <c r="O32" s="26">
        <v>0.0</v>
      </c>
      <c r="P32" s="26">
        <v>0.0</v>
      </c>
      <c r="Q32" s="26">
        <v>0.0</v>
      </c>
      <c r="R32" s="26">
        <v>0.0</v>
      </c>
      <c r="S32" s="26">
        <v>0.0</v>
      </c>
      <c r="T32" s="26">
        <v>0.0</v>
      </c>
      <c r="U32" s="26">
        <v>0.0</v>
      </c>
      <c r="V32" s="26">
        <v>0.0</v>
      </c>
      <c r="W32" s="26">
        <v>0.0</v>
      </c>
      <c r="X32" s="26">
        <v>0.0</v>
      </c>
      <c r="Y32" s="26">
        <v>0.0</v>
      </c>
      <c r="Z32" s="26">
        <v>0.0</v>
      </c>
      <c r="AA32" s="26">
        <v>0.0</v>
      </c>
      <c r="AB32" s="26">
        <v>0.0</v>
      </c>
      <c r="AC32" s="26">
        <v>0.0</v>
      </c>
    </row>
    <row r="33" ht="15.75" customHeight="1">
      <c r="A33" s="24" t="s">
        <v>29</v>
      </c>
      <c r="B33" s="13">
        <v>0.0</v>
      </c>
      <c r="C33" s="13">
        <v>0.0</v>
      </c>
      <c r="D33" s="13">
        <v>0.0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25">
        <v>1.0</v>
      </c>
      <c r="K33" s="26">
        <v>0.0</v>
      </c>
      <c r="L33" s="26">
        <v>0.0</v>
      </c>
      <c r="M33" s="26">
        <v>0.0</v>
      </c>
      <c r="N33" s="26">
        <v>0.0</v>
      </c>
      <c r="O33" s="26">
        <v>0.0</v>
      </c>
      <c r="P33" s="26">
        <v>0.0</v>
      </c>
      <c r="Q33" s="26">
        <v>0.0</v>
      </c>
      <c r="R33" s="26">
        <v>0.0</v>
      </c>
      <c r="S33" s="26">
        <v>0.0</v>
      </c>
      <c r="T33" s="26">
        <v>0.0</v>
      </c>
      <c r="U33" s="26">
        <v>0.0</v>
      </c>
      <c r="V33" s="26">
        <v>0.0</v>
      </c>
      <c r="W33" s="26">
        <v>0.0</v>
      </c>
      <c r="X33" s="26">
        <v>0.0</v>
      </c>
      <c r="Y33" s="26">
        <v>0.0</v>
      </c>
      <c r="Z33" s="26">
        <v>0.0</v>
      </c>
      <c r="AA33" s="26">
        <v>0.0</v>
      </c>
      <c r="AB33" s="26">
        <v>0.0</v>
      </c>
      <c r="AC33" s="26">
        <v>0.0</v>
      </c>
    </row>
    <row r="34" ht="15.75" customHeight="1">
      <c r="A34" s="24" t="s">
        <v>30</v>
      </c>
      <c r="B34" s="25">
        <v>0.0</v>
      </c>
      <c r="C34" s="25">
        <v>0.0</v>
      </c>
      <c r="D34" s="25">
        <v>0.0</v>
      </c>
      <c r="E34" s="25">
        <v>0.0</v>
      </c>
      <c r="F34" s="25">
        <v>0.0</v>
      </c>
      <c r="G34" s="25">
        <v>0.0</v>
      </c>
      <c r="H34" s="25">
        <v>0.0</v>
      </c>
      <c r="I34" s="25">
        <v>0.0</v>
      </c>
      <c r="J34" s="25">
        <v>1.0</v>
      </c>
      <c r="K34" s="25">
        <v>1.0</v>
      </c>
      <c r="L34" s="26">
        <v>0.0</v>
      </c>
      <c r="M34" s="26">
        <v>0.0</v>
      </c>
      <c r="N34" s="26">
        <v>0.0</v>
      </c>
      <c r="O34" s="26">
        <v>0.0</v>
      </c>
      <c r="P34" s="26">
        <v>0.0</v>
      </c>
      <c r="Q34" s="26">
        <v>0.0</v>
      </c>
      <c r="R34" s="26">
        <v>0.0</v>
      </c>
      <c r="S34" s="26">
        <v>0.0</v>
      </c>
      <c r="T34" s="26">
        <v>0.0</v>
      </c>
      <c r="U34" s="26">
        <v>0.0</v>
      </c>
      <c r="V34" s="26">
        <v>0.0</v>
      </c>
      <c r="W34" s="26">
        <v>0.0</v>
      </c>
      <c r="X34" s="26">
        <v>0.0</v>
      </c>
      <c r="Y34" s="26">
        <v>0.0</v>
      </c>
      <c r="Z34" s="26">
        <v>0.0</v>
      </c>
      <c r="AA34" s="26">
        <v>0.0</v>
      </c>
      <c r="AB34" s="26">
        <v>0.0</v>
      </c>
      <c r="AC34" s="26">
        <v>0.0</v>
      </c>
    </row>
    <row r="35" ht="15.75" customHeight="1">
      <c r="A35" s="27" t="s">
        <v>31</v>
      </c>
      <c r="B35" s="11">
        <v>0.0</v>
      </c>
      <c r="C35" s="11">
        <v>0.0</v>
      </c>
      <c r="D35" s="11">
        <v>0.0</v>
      </c>
      <c r="E35" s="11">
        <v>0.0</v>
      </c>
      <c r="F35" s="11">
        <v>0.0</v>
      </c>
      <c r="G35" s="11">
        <v>0.0</v>
      </c>
      <c r="H35" s="11">
        <v>0.0</v>
      </c>
      <c r="I35" s="11">
        <v>0.0</v>
      </c>
      <c r="J35" s="11">
        <v>0.0</v>
      </c>
      <c r="K35" s="11">
        <v>1.0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  <c r="AC35" s="5">
        <v>0.0</v>
      </c>
    </row>
    <row r="36" ht="15.75" customHeight="1">
      <c r="A36" s="28" t="s">
        <v>32</v>
      </c>
      <c r="B36" s="13">
        <v>0.0</v>
      </c>
      <c r="C36" s="13">
        <v>0.0</v>
      </c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3.0</v>
      </c>
      <c r="L36" s="14">
        <v>0.0</v>
      </c>
      <c r="M36" s="14">
        <v>0.0</v>
      </c>
      <c r="N36" s="14">
        <v>0.0</v>
      </c>
      <c r="O36" s="14">
        <v>0.0</v>
      </c>
      <c r="P36" s="14">
        <v>0.0</v>
      </c>
      <c r="Q36" s="14">
        <v>0.0</v>
      </c>
      <c r="R36" s="14">
        <v>0.0</v>
      </c>
      <c r="S36" s="14">
        <v>0.0</v>
      </c>
      <c r="T36" s="14">
        <v>0.0</v>
      </c>
      <c r="U36" s="14">
        <v>0.0</v>
      </c>
      <c r="V36" s="14">
        <v>0.0</v>
      </c>
      <c r="W36" s="14">
        <v>0.0</v>
      </c>
      <c r="X36" s="14">
        <v>0.0</v>
      </c>
      <c r="Y36" s="14">
        <v>0.0</v>
      </c>
      <c r="Z36" s="14">
        <v>0.0</v>
      </c>
      <c r="AA36" s="14">
        <v>0.0</v>
      </c>
      <c r="AB36" s="14">
        <v>0.0</v>
      </c>
      <c r="AC36" s="14">
        <v>0.0</v>
      </c>
    </row>
    <row r="37" ht="15.75" customHeight="1">
      <c r="A37" s="28" t="s">
        <v>21</v>
      </c>
      <c r="B37" s="13">
        <v>0.0</v>
      </c>
      <c r="C37" s="13">
        <v>0.0</v>
      </c>
      <c r="D37" s="13">
        <v>0.0</v>
      </c>
      <c r="E37" s="13">
        <v>0.0</v>
      </c>
      <c r="F37" s="13">
        <v>0.0</v>
      </c>
      <c r="G37" s="13">
        <v>0.0</v>
      </c>
      <c r="H37" s="13">
        <v>0.0</v>
      </c>
      <c r="I37" s="13">
        <v>0.0</v>
      </c>
      <c r="J37" s="13">
        <v>0.0</v>
      </c>
      <c r="K37" s="13">
        <v>3.0</v>
      </c>
      <c r="L37" s="14">
        <v>0.0</v>
      </c>
      <c r="M37" s="14">
        <v>0.0</v>
      </c>
      <c r="N37" s="14">
        <v>0.0</v>
      </c>
      <c r="O37" s="14">
        <v>0.0</v>
      </c>
      <c r="P37" s="14">
        <v>0.0</v>
      </c>
      <c r="Q37" s="14">
        <v>0.0</v>
      </c>
      <c r="R37" s="14">
        <v>0.0</v>
      </c>
      <c r="S37" s="14">
        <v>0.0</v>
      </c>
      <c r="T37" s="14">
        <v>0.0</v>
      </c>
      <c r="U37" s="14">
        <v>0.0</v>
      </c>
      <c r="V37" s="14">
        <v>0.0</v>
      </c>
      <c r="W37" s="14">
        <v>0.0</v>
      </c>
      <c r="X37" s="14">
        <v>0.0</v>
      </c>
      <c r="Y37" s="14">
        <v>0.0</v>
      </c>
      <c r="Z37" s="14">
        <v>0.0</v>
      </c>
      <c r="AA37" s="14">
        <v>0.0</v>
      </c>
      <c r="AB37" s="14">
        <v>0.0</v>
      </c>
      <c r="AC37" s="14">
        <v>0.0</v>
      </c>
    </row>
    <row r="38" ht="15.75" customHeight="1">
      <c r="A38" s="28" t="s">
        <v>33</v>
      </c>
      <c r="B38" s="13">
        <v>0.0</v>
      </c>
      <c r="C38" s="13">
        <v>0.0</v>
      </c>
      <c r="D38" s="13">
        <v>0.0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3">
        <v>0.0</v>
      </c>
      <c r="L38" s="13">
        <v>1.0</v>
      </c>
      <c r="M38" s="14">
        <v>0.0</v>
      </c>
      <c r="N38" s="14">
        <v>0.0</v>
      </c>
      <c r="O38" s="14">
        <v>0.0</v>
      </c>
      <c r="P38" s="14">
        <v>0.0</v>
      </c>
      <c r="Q38" s="14">
        <v>0.0</v>
      </c>
      <c r="R38" s="14">
        <v>0.0</v>
      </c>
      <c r="S38" s="14">
        <v>0.0</v>
      </c>
      <c r="T38" s="14">
        <v>0.0</v>
      </c>
      <c r="U38" s="14">
        <v>0.0</v>
      </c>
      <c r="V38" s="14">
        <v>0.0</v>
      </c>
      <c r="W38" s="14">
        <v>0.0</v>
      </c>
      <c r="X38" s="14">
        <v>0.0</v>
      </c>
      <c r="Y38" s="14">
        <v>0.0</v>
      </c>
      <c r="Z38" s="14">
        <v>0.0</v>
      </c>
      <c r="AA38" s="14">
        <v>0.0</v>
      </c>
      <c r="AB38" s="14">
        <v>0.0</v>
      </c>
      <c r="AC38" s="14">
        <v>0.0</v>
      </c>
    </row>
    <row r="39" ht="15.75" customHeight="1">
      <c r="A39" s="28" t="s">
        <v>34</v>
      </c>
      <c r="B39" s="13">
        <v>0.0</v>
      </c>
      <c r="C39" s="13">
        <v>0.0</v>
      </c>
      <c r="D39" s="13">
        <v>0.0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3">
        <v>1.0</v>
      </c>
      <c r="N39" s="14">
        <v>0.0</v>
      </c>
      <c r="O39" s="14">
        <v>0.0</v>
      </c>
      <c r="P39" s="14">
        <v>0.0</v>
      </c>
      <c r="Q39" s="14">
        <v>0.0</v>
      </c>
      <c r="R39" s="14">
        <v>0.0</v>
      </c>
      <c r="S39" s="14">
        <v>0.0</v>
      </c>
      <c r="T39" s="14">
        <v>0.0</v>
      </c>
      <c r="U39" s="14">
        <v>0.0</v>
      </c>
      <c r="V39" s="14">
        <v>0.0</v>
      </c>
      <c r="W39" s="14">
        <v>0.0</v>
      </c>
      <c r="X39" s="14">
        <v>0.0</v>
      </c>
      <c r="Y39" s="14">
        <v>0.0</v>
      </c>
      <c r="Z39" s="14">
        <v>0.0</v>
      </c>
      <c r="AA39" s="14">
        <v>0.0</v>
      </c>
      <c r="AB39" s="14">
        <v>0.0</v>
      </c>
      <c r="AC39" s="14">
        <v>0.0</v>
      </c>
    </row>
    <row r="40" ht="15.75" customHeight="1">
      <c r="A40" s="28" t="s">
        <v>35</v>
      </c>
      <c r="B40" s="13">
        <v>0.0</v>
      </c>
      <c r="C40" s="13">
        <v>0.0</v>
      </c>
      <c r="D40" s="13">
        <v>0.0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13">
        <v>0.0</v>
      </c>
      <c r="N40" s="13">
        <v>1.0</v>
      </c>
      <c r="O40" s="14">
        <v>0.0</v>
      </c>
      <c r="P40" s="14">
        <v>0.0</v>
      </c>
      <c r="Q40" s="14">
        <v>0.0</v>
      </c>
      <c r="R40" s="14">
        <v>0.0</v>
      </c>
      <c r="S40" s="14">
        <v>0.0</v>
      </c>
      <c r="T40" s="14">
        <v>0.0</v>
      </c>
      <c r="U40" s="14">
        <v>0.0</v>
      </c>
      <c r="V40" s="14">
        <v>0.0</v>
      </c>
      <c r="W40" s="14">
        <v>0.0</v>
      </c>
      <c r="X40" s="14">
        <v>0.0</v>
      </c>
      <c r="Y40" s="14">
        <v>0.0</v>
      </c>
      <c r="Z40" s="14">
        <v>0.0</v>
      </c>
      <c r="AA40" s="14">
        <v>0.0</v>
      </c>
      <c r="AB40" s="14">
        <v>0.0</v>
      </c>
      <c r="AC40" s="14">
        <v>0.0</v>
      </c>
    </row>
    <row r="41" ht="15.75" customHeight="1">
      <c r="A41" s="28" t="s">
        <v>36</v>
      </c>
      <c r="B41" s="13">
        <v>0.0</v>
      </c>
      <c r="C41" s="13">
        <v>0.0</v>
      </c>
      <c r="D41" s="13">
        <v>0.0</v>
      </c>
      <c r="E41" s="13">
        <v>0.0</v>
      </c>
      <c r="F41" s="13">
        <v>0.0</v>
      </c>
      <c r="G41" s="13">
        <v>0.0</v>
      </c>
      <c r="H41" s="13">
        <v>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N41" s="13">
        <v>1.0</v>
      </c>
      <c r="O41" s="14">
        <v>0.0</v>
      </c>
      <c r="P41" s="14">
        <v>0.0</v>
      </c>
      <c r="Q41" s="14">
        <v>0.0</v>
      </c>
      <c r="R41" s="14">
        <v>0.0</v>
      </c>
      <c r="S41" s="14">
        <v>0.0</v>
      </c>
      <c r="T41" s="14">
        <v>0.0</v>
      </c>
      <c r="U41" s="14">
        <v>0.0</v>
      </c>
      <c r="V41" s="14">
        <v>0.0</v>
      </c>
      <c r="W41" s="14">
        <v>0.0</v>
      </c>
      <c r="X41" s="14">
        <v>0.0</v>
      </c>
      <c r="Y41" s="14">
        <v>0.0</v>
      </c>
      <c r="Z41" s="14">
        <v>0.0</v>
      </c>
      <c r="AA41" s="14">
        <v>0.0</v>
      </c>
      <c r="AB41" s="14">
        <v>0.0</v>
      </c>
      <c r="AC41" s="14">
        <v>0.0</v>
      </c>
    </row>
    <row r="42" ht="15.75" customHeight="1">
      <c r="A42" s="29" t="s">
        <v>37</v>
      </c>
      <c r="B42" s="11">
        <v>0.0</v>
      </c>
      <c r="C42" s="11">
        <v>0.0</v>
      </c>
      <c r="D42" s="11">
        <v>0.0</v>
      </c>
      <c r="E42" s="11">
        <v>0.0</v>
      </c>
      <c r="F42" s="11">
        <v>0.0</v>
      </c>
      <c r="G42" s="11">
        <v>0.0</v>
      </c>
      <c r="H42" s="11">
        <v>0.0</v>
      </c>
      <c r="I42" s="11">
        <v>0.0</v>
      </c>
      <c r="J42" s="11">
        <v>0.0</v>
      </c>
      <c r="K42" s="11">
        <v>0.0</v>
      </c>
      <c r="L42" s="11">
        <v>0.0</v>
      </c>
      <c r="M42" s="11">
        <v>0.0</v>
      </c>
      <c r="N42" s="11">
        <v>0.0</v>
      </c>
      <c r="O42" s="11">
        <v>1.0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0.0</v>
      </c>
      <c r="AA42" s="5">
        <v>0.0</v>
      </c>
      <c r="AB42" s="5">
        <v>0.0</v>
      </c>
      <c r="AC42" s="5">
        <v>0.0</v>
      </c>
    </row>
    <row r="43" ht="15.75" customHeight="1">
      <c r="A43" s="30" t="s">
        <v>33</v>
      </c>
      <c r="B43" s="13">
        <v>0.0</v>
      </c>
      <c r="C43" s="13">
        <v>0.0</v>
      </c>
      <c r="D43" s="13">
        <v>0.0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3">
        <v>0.0</v>
      </c>
      <c r="K43" s="13">
        <v>0.0</v>
      </c>
      <c r="L43" s="13">
        <v>0.0</v>
      </c>
      <c r="M43" s="13">
        <v>0.0</v>
      </c>
      <c r="N43" s="13">
        <v>0.0</v>
      </c>
      <c r="O43" s="13">
        <v>1.0</v>
      </c>
      <c r="P43" s="14">
        <v>0.0</v>
      </c>
      <c r="Q43" s="14">
        <v>0.0</v>
      </c>
      <c r="R43" s="14">
        <v>0.0</v>
      </c>
      <c r="S43" s="14">
        <v>0.0</v>
      </c>
      <c r="T43" s="14">
        <v>0.0</v>
      </c>
      <c r="U43" s="14">
        <v>0.0</v>
      </c>
      <c r="V43" s="14">
        <v>0.0</v>
      </c>
      <c r="W43" s="14">
        <v>0.0</v>
      </c>
      <c r="X43" s="14">
        <v>0.0</v>
      </c>
      <c r="Y43" s="14">
        <v>0.0</v>
      </c>
      <c r="Z43" s="14">
        <v>0.0</v>
      </c>
      <c r="AA43" s="14">
        <v>0.0</v>
      </c>
      <c r="AB43" s="14">
        <v>0.0</v>
      </c>
      <c r="AC43" s="14">
        <v>0.0</v>
      </c>
    </row>
    <row r="44" ht="15.75" customHeight="1">
      <c r="A44" s="30" t="s">
        <v>38</v>
      </c>
      <c r="B44" s="13">
        <v>0.0</v>
      </c>
      <c r="C44" s="13">
        <v>0.0</v>
      </c>
      <c r="D44" s="13">
        <v>0.0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3">
        <v>0.0</v>
      </c>
      <c r="K44" s="13">
        <v>0.0</v>
      </c>
      <c r="L44" s="13">
        <v>0.0</v>
      </c>
      <c r="M44" s="13">
        <v>0.0</v>
      </c>
      <c r="N44" s="13">
        <v>0.0</v>
      </c>
      <c r="O44" s="13">
        <v>0.0</v>
      </c>
      <c r="P44" s="13">
        <v>4.0</v>
      </c>
      <c r="Q44" s="14">
        <v>0.0</v>
      </c>
      <c r="R44" s="14">
        <v>0.0</v>
      </c>
      <c r="S44" s="14">
        <v>0.0</v>
      </c>
      <c r="T44" s="14">
        <v>0.0</v>
      </c>
      <c r="U44" s="14">
        <v>0.0</v>
      </c>
      <c r="V44" s="14">
        <v>0.0</v>
      </c>
      <c r="W44" s="14">
        <v>0.0</v>
      </c>
      <c r="X44" s="14">
        <v>0.0</v>
      </c>
      <c r="Y44" s="14">
        <v>0.0</v>
      </c>
      <c r="Z44" s="14">
        <v>0.0</v>
      </c>
      <c r="AA44" s="14">
        <v>0.0</v>
      </c>
      <c r="AB44" s="14">
        <v>0.0</v>
      </c>
      <c r="AC44" s="14">
        <v>0.0</v>
      </c>
    </row>
    <row r="45" ht="15.75" customHeight="1">
      <c r="A45" s="30" t="s">
        <v>39</v>
      </c>
      <c r="B45" s="13">
        <v>0.0</v>
      </c>
      <c r="C45" s="13">
        <v>0.0</v>
      </c>
      <c r="D45" s="13">
        <v>0.0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3">
        <v>0.0</v>
      </c>
      <c r="K45" s="13">
        <v>0.0</v>
      </c>
      <c r="L45" s="13">
        <v>0.0</v>
      </c>
      <c r="M45" s="13">
        <v>0.0</v>
      </c>
      <c r="N45" s="13">
        <v>0.0</v>
      </c>
      <c r="O45" s="13">
        <v>0.0</v>
      </c>
      <c r="P45" s="13">
        <v>3.0</v>
      </c>
      <c r="Q45" s="14">
        <v>0.0</v>
      </c>
      <c r="R45" s="14">
        <v>0.0</v>
      </c>
      <c r="S45" s="14">
        <v>0.0</v>
      </c>
      <c r="T45" s="14">
        <v>0.0</v>
      </c>
      <c r="U45" s="14">
        <v>0.0</v>
      </c>
      <c r="V45" s="14">
        <v>0.0</v>
      </c>
      <c r="W45" s="14">
        <v>0.0</v>
      </c>
      <c r="X45" s="14">
        <v>0.0</v>
      </c>
      <c r="Y45" s="14">
        <v>0.0</v>
      </c>
      <c r="Z45" s="14">
        <v>0.0</v>
      </c>
      <c r="AA45" s="14">
        <v>0.0</v>
      </c>
      <c r="AB45" s="14">
        <v>0.0</v>
      </c>
      <c r="AC45" s="14">
        <v>0.0</v>
      </c>
    </row>
    <row r="46" ht="15.75" customHeight="1">
      <c r="A46" s="30" t="s">
        <v>40</v>
      </c>
      <c r="B46" s="13">
        <v>0.0</v>
      </c>
      <c r="C46" s="13">
        <v>0.0</v>
      </c>
      <c r="D46" s="13">
        <v>0.0</v>
      </c>
      <c r="E46" s="13">
        <v>0.0</v>
      </c>
      <c r="F46" s="13">
        <v>0.0</v>
      </c>
      <c r="G46" s="13">
        <v>0.0</v>
      </c>
      <c r="H46" s="13">
        <v>0.0</v>
      </c>
      <c r="I46" s="13">
        <v>0.0</v>
      </c>
      <c r="J46" s="13">
        <v>0.0</v>
      </c>
      <c r="K46" s="13">
        <v>0.0</v>
      </c>
      <c r="L46" s="13">
        <v>0.0</v>
      </c>
      <c r="M46" s="13">
        <v>0.0</v>
      </c>
      <c r="N46" s="13">
        <v>0.0</v>
      </c>
      <c r="O46" s="13">
        <v>0.0</v>
      </c>
      <c r="P46" s="13">
        <v>1.0</v>
      </c>
      <c r="Q46" s="14">
        <v>0.0</v>
      </c>
      <c r="R46" s="14">
        <v>0.0</v>
      </c>
      <c r="S46" s="14">
        <v>0.0</v>
      </c>
      <c r="T46" s="14">
        <v>0.0</v>
      </c>
      <c r="U46" s="14">
        <v>0.0</v>
      </c>
      <c r="V46" s="14">
        <v>0.0</v>
      </c>
      <c r="W46" s="14">
        <v>0.0</v>
      </c>
      <c r="X46" s="14">
        <v>0.0</v>
      </c>
      <c r="Y46" s="14">
        <v>0.0</v>
      </c>
      <c r="Z46" s="14">
        <v>0.0</v>
      </c>
      <c r="AA46" s="14">
        <v>0.0</v>
      </c>
      <c r="AB46" s="14">
        <v>0.0</v>
      </c>
      <c r="AC46" s="14">
        <v>0.0</v>
      </c>
    </row>
    <row r="47" ht="15.75" customHeight="1">
      <c r="A47" s="30" t="s">
        <v>41</v>
      </c>
      <c r="B47" s="13">
        <v>0.0</v>
      </c>
      <c r="C47" s="13">
        <v>0.0</v>
      </c>
      <c r="D47" s="13">
        <v>0.0</v>
      </c>
      <c r="E47" s="13">
        <v>0.0</v>
      </c>
      <c r="F47" s="13">
        <v>0.0</v>
      </c>
      <c r="G47" s="13">
        <v>0.0</v>
      </c>
      <c r="H47" s="13">
        <v>0.0</v>
      </c>
      <c r="I47" s="13">
        <v>0.0</v>
      </c>
      <c r="J47" s="13">
        <v>0.0</v>
      </c>
      <c r="K47" s="13">
        <v>0.0</v>
      </c>
      <c r="L47" s="13">
        <v>0.0</v>
      </c>
      <c r="M47" s="13">
        <v>0.0</v>
      </c>
      <c r="N47" s="13">
        <v>0.0</v>
      </c>
      <c r="O47" s="13">
        <v>0.0</v>
      </c>
      <c r="P47" s="13">
        <v>0.0</v>
      </c>
      <c r="Q47" s="13">
        <v>2.0</v>
      </c>
      <c r="R47" s="14">
        <v>0.0</v>
      </c>
      <c r="S47" s="14">
        <v>0.0</v>
      </c>
      <c r="T47" s="14">
        <v>0.0</v>
      </c>
      <c r="U47" s="14">
        <v>0.0</v>
      </c>
      <c r="V47" s="14">
        <v>0.0</v>
      </c>
      <c r="W47" s="14">
        <v>0.0</v>
      </c>
      <c r="X47" s="14">
        <v>0.0</v>
      </c>
      <c r="Y47" s="14">
        <v>0.0</v>
      </c>
      <c r="Z47" s="14">
        <v>0.0</v>
      </c>
      <c r="AA47" s="14">
        <v>0.0</v>
      </c>
      <c r="AB47" s="14">
        <v>0.0</v>
      </c>
      <c r="AC47" s="14">
        <v>0.0</v>
      </c>
    </row>
    <row r="48" ht="15.75" customHeight="1">
      <c r="A48" s="30" t="s">
        <v>42</v>
      </c>
      <c r="B48" s="13">
        <v>0.0</v>
      </c>
      <c r="C48" s="13">
        <v>0.0</v>
      </c>
      <c r="D48" s="13">
        <v>0.0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  <c r="L48" s="13">
        <v>0.0</v>
      </c>
      <c r="M48" s="13">
        <v>0.0</v>
      </c>
      <c r="N48" s="13">
        <v>0.0</v>
      </c>
      <c r="O48" s="13">
        <v>0.0</v>
      </c>
      <c r="P48" s="13">
        <v>0.0</v>
      </c>
      <c r="Q48" s="13">
        <v>1.0</v>
      </c>
      <c r="R48" s="14">
        <v>0.0</v>
      </c>
      <c r="S48" s="14">
        <v>0.0</v>
      </c>
      <c r="T48" s="14">
        <v>0.0</v>
      </c>
      <c r="U48" s="14">
        <v>0.0</v>
      </c>
      <c r="V48" s="14">
        <v>0.0</v>
      </c>
      <c r="W48" s="14">
        <v>0.0</v>
      </c>
      <c r="X48" s="14">
        <v>0.0</v>
      </c>
      <c r="Y48" s="14">
        <v>0.0</v>
      </c>
      <c r="Z48" s="14">
        <v>0.0</v>
      </c>
      <c r="AA48" s="14">
        <v>0.0</v>
      </c>
      <c r="AB48" s="14">
        <v>0.0</v>
      </c>
      <c r="AC48" s="14">
        <v>0.0</v>
      </c>
    </row>
    <row r="49" ht="15.75" customHeight="1">
      <c r="A49" s="30" t="s">
        <v>43</v>
      </c>
      <c r="B49" s="13">
        <v>0.0</v>
      </c>
      <c r="C49" s="13">
        <v>0.0</v>
      </c>
      <c r="D49" s="13">
        <v>0.0</v>
      </c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13">
        <v>0.0</v>
      </c>
      <c r="N49" s="13">
        <v>0.0</v>
      </c>
      <c r="O49" s="13">
        <v>0.0</v>
      </c>
      <c r="P49" s="13">
        <v>0.0</v>
      </c>
      <c r="Q49" s="13">
        <v>1.0</v>
      </c>
      <c r="R49" s="14">
        <v>0.0</v>
      </c>
      <c r="S49" s="14">
        <v>0.0</v>
      </c>
      <c r="T49" s="14">
        <v>0.0</v>
      </c>
      <c r="U49" s="14">
        <v>0.0</v>
      </c>
      <c r="V49" s="14">
        <v>0.0</v>
      </c>
      <c r="W49" s="14">
        <v>0.0</v>
      </c>
      <c r="X49" s="14">
        <v>0.0</v>
      </c>
      <c r="Y49" s="14">
        <v>0.0</v>
      </c>
      <c r="Z49" s="14">
        <v>0.0</v>
      </c>
      <c r="AA49" s="14">
        <v>0.0</v>
      </c>
      <c r="AB49" s="14">
        <v>0.0</v>
      </c>
      <c r="AC49" s="14">
        <v>0.0</v>
      </c>
    </row>
    <row r="50" ht="15.75" customHeight="1">
      <c r="A50" s="30" t="s">
        <v>44</v>
      </c>
      <c r="B50" s="13">
        <v>0.0</v>
      </c>
      <c r="C50" s="13">
        <v>0.0</v>
      </c>
      <c r="D50" s="13">
        <v>0.0</v>
      </c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0.2</v>
      </c>
      <c r="S50" s="13">
        <v>0.8</v>
      </c>
      <c r="T50" s="14">
        <v>0.0</v>
      </c>
      <c r="U50" s="14">
        <v>0.0</v>
      </c>
      <c r="V50" s="14">
        <v>0.0</v>
      </c>
      <c r="W50" s="14">
        <v>0.0</v>
      </c>
      <c r="X50" s="14">
        <v>0.0</v>
      </c>
      <c r="Y50" s="14">
        <v>0.0</v>
      </c>
      <c r="Z50" s="14">
        <v>0.0</v>
      </c>
      <c r="AA50" s="14">
        <v>0.0</v>
      </c>
      <c r="AB50" s="14">
        <v>0.0</v>
      </c>
      <c r="AC50" s="14">
        <v>0.0</v>
      </c>
    </row>
    <row r="51" ht="15.75" customHeight="1">
      <c r="A51" s="31" t="s">
        <v>45</v>
      </c>
      <c r="B51" s="11">
        <v>0.0</v>
      </c>
      <c r="C51" s="11">
        <v>0.0</v>
      </c>
      <c r="D51" s="11">
        <v>0.0</v>
      </c>
      <c r="E51" s="11">
        <v>0.0</v>
      </c>
      <c r="F51" s="11">
        <v>0.0</v>
      </c>
      <c r="G51" s="11">
        <v>0.0</v>
      </c>
      <c r="H51" s="11">
        <v>0.0</v>
      </c>
      <c r="I51" s="11">
        <v>0.0</v>
      </c>
      <c r="J51" s="11">
        <v>0.0</v>
      </c>
      <c r="K51" s="11">
        <v>0.0</v>
      </c>
      <c r="L51" s="11">
        <v>0.0</v>
      </c>
      <c r="M51" s="11">
        <v>0.0</v>
      </c>
      <c r="N51" s="11">
        <v>0.0</v>
      </c>
      <c r="O51" s="11">
        <v>0.0</v>
      </c>
      <c r="P51" s="11">
        <v>0.0</v>
      </c>
      <c r="Q51" s="11">
        <v>0.0</v>
      </c>
      <c r="R51" s="11">
        <v>0.0</v>
      </c>
      <c r="S51" s="11">
        <v>0.0</v>
      </c>
      <c r="T51" s="11">
        <v>1.3</v>
      </c>
      <c r="U51" s="11">
        <v>0.7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  <c r="AC51" s="5">
        <v>0.0</v>
      </c>
    </row>
    <row r="52" ht="15.75" customHeight="1">
      <c r="A52" s="32" t="s">
        <v>46</v>
      </c>
      <c r="B52" s="13">
        <v>0.0</v>
      </c>
      <c r="C52" s="13">
        <v>0.0</v>
      </c>
      <c r="D52" s="13">
        <v>0.0</v>
      </c>
      <c r="E52" s="13">
        <v>0.0</v>
      </c>
      <c r="F52" s="13">
        <v>0.0</v>
      </c>
      <c r="G52" s="13">
        <v>0.0</v>
      </c>
      <c r="H52" s="13">
        <v>0.0</v>
      </c>
      <c r="I52" s="13">
        <v>0.0</v>
      </c>
      <c r="J52" s="13">
        <v>0.0</v>
      </c>
      <c r="K52" s="13">
        <v>0.0</v>
      </c>
      <c r="L52" s="13">
        <v>0.0</v>
      </c>
      <c r="M52" s="13">
        <v>0.0</v>
      </c>
      <c r="N52" s="13">
        <v>0.0</v>
      </c>
      <c r="O52" s="13">
        <v>0.0</v>
      </c>
      <c r="P52" s="13">
        <v>0.0</v>
      </c>
      <c r="Q52" s="13">
        <v>0.0</v>
      </c>
      <c r="R52" s="13">
        <v>0.0</v>
      </c>
      <c r="S52" s="13">
        <v>0.0</v>
      </c>
      <c r="T52" s="13">
        <v>2.0</v>
      </c>
      <c r="U52" s="13">
        <v>1.0</v>
      </c>
      <c r="V52" s="14">
        <v>0.0</v>
      </c>
      <c r="W52" s="14">
        <v>0.0</v>
      </c>
      <c r="X52" s="14">
        <v>0.0</v>
      </c>
      <c r="Y52" s="14">
        <v>0.0</v>
      </c>
      <c r="Z52" s="14">
        <v>0.0</v>
      </c>
      <c r="AA52" s="14">
        <v>0.0</v>
      </c>
      <c r="AB52" s="14">
        <v>0.0</v>
      </c>
      <c r="AC52" s="14">
        <v>0.0</v>
      </c>
    </row>
    <row r="53" ht="15.75" customHeight="1">
      <c r="A53" s="32" t="s">
        <v>47</v>
      </c>
      <c r="B53" s="13">
        <v>0.0</v>
      </c>
      <c r="C53" s="13">
        <v>0.0</v>
      </c>
      <c r="D53" s="13">
        <v>0.0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  <c r="K53" s="13">
        <v>0.0</v>
      </c>
      <c r="L53" s="13">
        <v>0.0</v>
      </c>
      <c r="M53" s="13">
        <v>0.0</v>
      </c>
      <c r="N53" s="13">
        <v>0.0</v>
      </c>
      <c r="O53" s="13">
        <v>0.0</v>
      </c>
      <c r="P53" s="13">
        <v>0.0</v>
      </c>
      <c r="Q53" s="13">
        <v>0.0</v>
      </c>
      <c r="R53" s="13">
        <v>0.0</v>
      </c>
      <c r="S53" s="13">
        <v>0.0</v>
      </c>
      <c r="T53" s="13">
        <v>0.0</v>
      </c>
      <c r="U53" s="13">
        <v>0.0</v>
      </c>
      <c r="V53" s="13">
        <v>1.0</v>
      </c>
      <c r="W53" s="13">
        <v>1.0</v>
      </c>
      <c r="X53" s="14">
        <v>0.0</v>
      </c>
      <c r="Y53" s="14">
        <v>0.0</v>
      </c>
      <c r="Z53" s="14">
        <v>0.0</v>
      </c>
      <c r="AA53" s="14">
        <v>0.0</v>
      </c>
      <c r="AB53" s="14">
        <v>0.0</v>
      </c>
      <c r="AC53" s="14">
        <v>0.0</v>
      </c>
    </row>
    <row r="54" ht="15.75" customHeight="1">
      <c r="A54" s="33" t="s">
        <v>48</v>
      </c>
      <c r="B54" s="11">
        <v>0.0</v>
      </c>
      <c r="C54" s="11">
        <v>0.0</v>
      </c>
      <c r="D54" s="11">
        <v>0.0</v>
      </c>
      <c r="E54" s="11">
        <v>0.0</v>
      </c>
      <c r="F54" s="11">
        <v>0.0</v>
      </c>
      <c r="G54" s="11">
        <v>0.0</v>
      </c>
      <c r="H54" s="11">
        <v>0.0</v>
      </c>
      <c r="I54" s="11">
        <v>0.0</v>
      </c>
      <c r="J54" s="11">
        <v>0.0</v>
      </c>
      <c r="K54" s="11">
        <v>0.0</v>
      </c>
      <c r="L54" s="11">
        <v>0.0</v>
      </c>
      <c r="M54" s="11">
        <v>0.0</v>
      </c>
      <c r="N54" s="11">
        <v>0.0</v>
      </c>
      <c r="O54" s="11">
        <v>0.0</v>
      </c>
      <c r="P54" s="11">
        <v>0.0</v>
      </c>
      <c r="Q54" s="11">
        <v>0.0</v>
      </c>
      <c r="R54" s="11">
        <v>0.0</v>
      </c>
      <c r="S54" s="11">
        <v>0.0</v>
      </c>
      <c r="T54" s="11">
        <v>0.0</v>
      </c>
      <c r="U54" s="11">
        <v>0.0</v>
      </c>
      <c r="V54" s="11">
        <v>0.0</v>
      </c>
      <c r="W54" s="11">
        <v>1.0</v>
      </c>
      <c r="X54" s="11">
        <v>1.0</v>
      </c>
      <c r="Y54" s="5">
        <v>0.0</v>
      </c>
      <c r="Z54" s="5">
        <v>0.0</v>
      </c>
      <c r="AA54" s="5">
        <v>0.0</v>
      </c>
      <c r="AB54" s="5">
        <v>0.0</v>
      </c>
      <c r="AC54" s="5">
        <v>0.0</v>
      </c>
    </row>
    <row r="55" ht="15.75" customHeight="1">
      <c r="A55" s="34" t="s">
        <v>49</v>
      </c>
      <c r="B55" s="13">
        <v>0.0</v>
      </c>
      <c r="C55" s="13">
        <v>0.0</v>
      </c>
      <c r="D55" s="13">
        <v>0.0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3">
        <v>0.0</v>
      </c>
      <c r="K55" s="13">
        <v>0.0</v>
      </c>
      <c r="L55" s="13">
        <v>0.0</v>
      </c>
      <c r="M55" s="13">
        <v>0.0</v>
      </c>
      <c r="N55" s="13">
        <v>0.0</v>
      </c>
      <c r="O55" s="13">
        <v>0.0</v>
      </c>
      <c r="P55" s="13">
        <v>0.0</v>
      </c>
      <c r="Q55" s="13">
        <v>0.0</v>
      </c>
      <c r="R55" s="13">
        <v>0.0</v>
      </c>
      <c r="S55" s="13">
        <v>0.0</v>
      </c>
      <c r="T55" s="13">
        <v>0.0</v>
      </c>
      <c r="U55" s="13">
        <v>0.0</v>
      </c>
      <c r="V55" s="13">
        <v>0.0</v>
      </c>
      <c r="W55" s="13">
        <v>1.0</v>
      </c>
      <c r="X55" s="13">
        <v>1.0</v>
      </c>
      <c r="Y55" s="14">
        <v>0.0</v>
      </c>
      <c r="Z55" s="14">
        <v>0.0</v>
      </c>
      <c r="AA55" s="14">
        <v>0.0</v>
      </c>
      <c r="AB55" s="14">
        <v>0.0</v>
      </c>
      <c r="AC55" s="14">
        <v>0.0</v>
      </c>
    </row>
    <row r="56" ht="15.75" customHeight="1">
      <c r="A56" s="34" t="s">
        <v>50</v>
      </c>
      <c r="B56" s="13">
        <v>0.0</v>
      </c>
      <c r="C56" s="13">
        <v>0.0</v>
      </c>
      <c r="D56" s="13">
        <v>0.0</v>
      </c>
      <c r="E56" s="13">
        <v>0.0</v>
      </c>
      <c r="F56" s="13">
        <v>0.0</v>
      </c>
      <c r="G56" s="13">
        <v>0.0</v>
      </c>
      <c r="H56" s="13">
        <v>0.0</v>
      </c>
      <c r="I56" s="13">
        <v>0.0</v>
      </c>
      <c r="J56" s="13">
        <v>0.0</v>
      </c>
      <c r="K56" s="13">
        <v>0.0</v>
      </c>
      <c r="L56" s="13">
        <v>0.0</v>
      </c>
      <c r="M56" s="13">
        <v>0.0</v>
      </c>
      <c r="N56" s="13">
        <v>0.0</v>
      </c>
      <c r="O56" s="13">
        <v>0.0</v>
      </c>
      <c r="P56" s="13">
        <v>0.0</v>
      </c>
      <c r="Q56" s="13">
        <v>0.0</v>
      </c>
      <c r="R56" s="13">
        <v>0.0</v>
      </c>
      <c r="S56" s="13">
        <v>0.0</v>
      </c>
      <c r="T56" s="13">
        <v>0.0</v>
      </c>
      <c r="U56" s="13">
        <v>0.0</v>
      </c>
      <c r="V56" s="13">
        <v>0.0</v>
      </c>
      <c r="W56" s="13">
        <v>0.5</v>
      </c>
      <c r="X56" s="13">
        <v>0.5</v>
      </c>
      <c r="Y56" s="14">
        <v>0.0</v>
      </c>
      <c r="Z56" s="14">
        <v>0.0</v>
      </c>
      <c r="AA56" s="14">
        <v>0.0</v>
      </c>
      <c r="AB56" s="14">
        <v>0.0</v>
      </c>
      <c r="AC56" s="14">
        <v>0.0</v>
      </c>
    </row>
    <row r="57" ht="15.75" customHeight="1">
      <c r="A57" s="35" t="s">
        <v>51</v>
      </c>
      <c r="B57" s="11">
        <v>0.0</v>
      </c>
      <c r="C57" s="11">
        <v>0.0</v>
      </c>
      <c r="D57" s="11">
        <v>0.0</v>
      </c>
      <c r="E57" s="11">
        <v>0.0</v>
      </c>
      <c r="F57" s="11">
        <v>0.0</v>
      </c>
      <c r="G57" s="11">
        <v>0.0</v>
      </c>
      <c r="H57" s="11">
        <v>0.0</v>
      </c>
      <c r="I57" s="11">
        <v>0.0</v>
      </c>
      <c r="J57" s="11">
        <v>0.0</v>
      </c>
      <c r="K57" s="11">
        <v>0.0</v>
      </c>
      <c r="L57" s="11">
        <v>0.0</v>
      </c>
      <c r="M57" s="11">
        <v>0.0</v>
      </c>
      <c r="N57" s="11">
        <v>0.0</v>
      </c>
      <c r="O57" s="11">
        <v>0.0</v>
      </c>
      <c r="P57" s="11">
        <v>0.0</v>
      </c>
      <c r="Q57" s="11">
        <v>0.0</v>
      </c>
      <c r="R57" s="11">
        <v>0.0</v>
      </c>
      <c r="S57" s="11">
        <v>0.0</v>
      </c>
      <c r="T57" s="11">
        <v>0.0</v>
      </c>
      <c r="U57" s="11">
        <v>0.0</v>
      </c>
      <c r="V57" s="11">
        <v>0.0</v>
      </c>
      <c r="W57" s="11">
        <v>0.0</v>
      </c>
      <c r="X57" s="11">
        <v>0.0</v>
      </c>
      <c r="Y57" s="11">
        <v>3.0</v>
      </c>
      <c r="Z57" s="5">
        <v>0.0</v>
      </c>
      <c r="AA57" s="5">
        <v>0.0</v>
      </c>
      <c r="AB57" s="5">
        <v>0.0</v>
      </c>
      <c r="AC57" s="5">
        <v>0.0</v>
      </c>
    </row>
    <row r="58" ht="15.75" customHeight="1">
      <c r="A58" s="36" t="s">
        <v>52</v>
      </c>
      <c r="B58" s="13">
        <v>0.0</v>
      </c>
      <c r="C58" s="13">
        <v>0.0</v>
      </c>
      <c r="D58" s="13">
        <v>0.0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0.0</v>
      </c>
      <c r="L58" s="13">
        <v>0.0</v>
      </c>
      <c r="M58" s="13">
        <v>0.0</v>
      </c>
      <c r="N58" s="13">
        <v>0.0</v>
      </c>
      <c r="O58" s="13">
        <v>0.0</v>
      </c>
      <c r="P58" s="13">
        <v>0.0</v>
      </c>
      <c r="Q58" s="13">
        <v>0.0</v>
      </c>
      <c r="R58" s="13">
        <v>0.0</v>
      </c>
      <c r="S58" s="13">
        <v>0.0</v>
      </c>
      <c r="T58" s="13">
        <v>0.0</v>
      </c>
      <c r="U58" s="13">
        <v>0.0</v>
      </c>
      <c r="V58" s="13">
        <v>0.0</v>
      </c>
      <c r="W58" s="13">
        <v>0.0</v>
      </c>
      <c r="X58" s="13">
        <v>0.0</v>
      </c>
      <c r="Y58" s="13">
        <v>0.0</v>
      </c>
      <c r="Z58" s="13">
        <v>1.0</v>
      </c>
      <c r="AA58" s="14">
        <v>0.0</v>
      </c>
      <c r="AB58" s="14">
        <v>0.0</v>
      </c>
      <c r="AC58" s="14">
        <v>0.0</v>
      </c>
    </row>
    <row r="59" ht="15.75" customHeight="1">
      <c r="A59" s="36" t="s">
        <v>53</v>
      </c>
      <c r="B59" s="13">
        <v>0.0</v>
      </c>
      <c r="C59" s="13">
        <v>0.0</v>
      </c>
      <c r="D59" s="13">
        <v>0.0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  <c r="L59" s="13">
        <v>0.0</v>
      </c>
      <c r="M59" s="13">
        <v>0.0</v>
      </c>
      <c r="N59" s="13">
        <v>0.0</v>
      </c>
      <c r="O59" s="13">
        <v>0.0</v>
      </c>
      <c r="P59" s="13">
        <v>0.0</v>
      </c>
      <c r="Q59" s="13">
        <v>0.0</v>
      </c>
      <c r="R59" s="13">
        <v>0.0</v>
      </c>
      <c r="S59" s="13">
        <v>0.0</v>
      </c>
      <c r="T59" s="13">
        <v>0.0</v>
      </c>
      <c r="U59" s="13">
        <v>0.0</v>
      </c>
      <c r="V59" s="13">
        <v>0.0</v>
      </c>
      <c r="W59" s="13">
        <v>0.0</v>
      </c>
      <c r="X59" s="13">
        <v>0.0</v>
      </c>
      <c r="Y59" s="13">
        <v>0.0</v>
      </c>
      <c r="Z59" s="13">
        <v>1.0</v>
      </c>
      <c r="AA59" s="14">
        <v>0.0</v>
      </c>
      <c r="AB59" s="14">
        <v>0.0</v>
      </c>
      <c r="AC59" s="14">
        <v>0.0</v>
      </c>
    </row>
    <row r="60" ht="15.75" customHeight="1">
      <c r="A60" s="36" t="s">
        <v>54</v>
      </c>
      <c r="B60" s="13">
        <v>0.0</v>
      </c>
      <c r="C60" s="13">
        <v>0.0</v>
      </c>
      <c r="D60" s="13">
        <v>0.0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13">
        <v>0.0</v>
      </c>
      <c r="L60" s="13">
        <v>0.0</v>
      </c>
      <c r="M60" s="13">
        <v>0.0</v>
      </c>
      <c r="N60" s="13">
        <v>0.0</v>
      </c>
      <c r="O60" s="13">
        <v>0.0</v>
      </c>
      <c r="P60" s="13">
        <v>0.0</v>
      </c>
      <c r="Q60" s="13">
        <v>0.0</v>
      </c>
      <c r="R60" s="13">
        <v>0.0</v>
      </c>
      <c r="S60" s="13">
        <v>0.0</v>
      </c>
      <c r="T60" s="13">
        <v>0.0</v>
      </c>
      <c r="U60" s="13">
        <v>0.0</v>
      </c>
      <c r="V60" s="13">
        <v>0.0</v>
      </c>
      <c r="W60" s="13">
        <v>0.0</v>
      </c>
      <c r="X60" s="13">
        <v>0.0</v>
      </c>
      <c r="Y60" s="13">
        <v>0.0</v>
      </c>
      <c r="Z60" s="13">
        <v>0.0</v>
      </c>
      <c r="AA60" s="13">
        <v>2.0</v>
      </c>
      <c r="AB60" s="14">
        <v>0.0</v>
      </c>
      <c r="AC60" s="14">
        <v>0.0</v>
      </c>
    </row>
    <row r="61" ht="15.75" customHeight="1">
      <c r="A61" s="36" t="s">
        <v>55</v>
      </c>
      <c r="B61" s="13">
        <v>0.0</v>
      </c>
      <c r="C61" s="13">
        <v>0.0</v>
      </c>
      <c r="D61" s="13">
        <v>0.0</v>
      </c>
      <c r="E61" s="13">
        <v>0.0</v>
      </c>
      <c r="F61" s="13">
        <v>0.0</v>
      </c>
      <c r="G61" s="13">
        <v>0.0</v>
      </c>
      <c r="H61" s="13">
        <v>0.0</v>
      </c>
      <c r="I61" s="13">
        <v>0.0</v>
      </c>
      <c r="J61" s="13">
        <v>0.0</v>
      </c>
      <c r="K61" s="13">
        <v>0.0</v>
      </c>
      <c r="L61" s="13">
        <v>0.0</v>
      </c>
      <c r="M61" s="13">
        <v>0.0</v>
      </c>
      <c r="N61" s="13">
        <v>0.0</v>
      </c>
      <c r="O61" s="13">
        <v>0.0</v>
      </c>
      <c r="P61" s="13">
        <v>0.0</v>
      </c>
      <c r="Q61" s="13">
        <v>0.0</v>
      </c>
      <c r="R61" s="13">
        <v>0.0</v>
      </c>
      <c r="S61" s="13">
        <v>0.0</v>
      </c>
      <c r="T61" s="13">
        <v>0.0</v>
      </c>
      <c r="U61" s="13">
        <v>0.0</v>
      </c>
      <c r="V61" s="13">
        <v>0.0</v>
      </c>
      <c r="W61" s="13">
        <v>0.0</v>
      </c>
      <c r="X61" s="13">
        <v>0.0</v>
      </c>
      <c r="Y61" s="13">
        <v>0.0</v>
      </c>
      <c r="Z61" s="13">
        <v>0.0</v>
      </c>
      <c r="AA61" s="13">
        <v>2.0</v>
      </c>
      <c r="AB61" s="14">
        <v>0.0</v>
      </c>
      <c r="AC61" s="14">
        <v>0.0</v>
      </c>
    </row>
    <row r="62" ht="15.75" customHeight="1">
      <c r="A62" s="37" t="s">
        <v>56</v>
      </c>
      <c r="B62" s="11">
        <v>0.0</v>
      </c>
      <c r="C62" s="11">
        <v>0.0</v>
      </c>
      <c r="D62" s="11">
        <v>0.0</v>
      </c>
      <c r="E62" s="11">
        <v>0.0</v>
      </c>
      <c r="F62" s="11">
        <v>0.0</v>
      </c>
      <c r="G62" s="11">
        <v>0.0</v>
      </c>
      <c r="H62" s="11">
        <v>0.0</v>
      </c>
      <c r="I62" s="11">
        <v>0.0</v>
      </c>
      <c r="J62" s="11">
        <v>0.0</v>
      </c>
      <c r="K62" s="11">
        <v>0.0</v>
      </c>
      <c r="L62" s="11">
        <v>0.0</v>
      </c>
      <c r="M62" s="11">
        <v>0.0</v>
      </c>
      <c r="N62" s="11">
        <v>0.0</v>
      </c>
      <c r="O62" s="11">
        <v>0.0</v>
      </c>
      <c r="P62" s="11">
        <v>0.0</v>
      </c>
      <c r="Q62" s="11">
        <v>0.0</v>
      </c>
      <c r="R62" s="11">
        <v>0.0</v>
      </c>
      <c r="S62" s="11">
        <v>0.0</v>
      </c>
      <c r="T62" s="11">
        <v>0.0</v>
      </c>
      <c r="U62" s="11">
        <v>0.0</v>
      </c>
      <c r="V62" s="11">
        <v>0.0</v>
      </c>
      <c r="W62" s="11">
        <v>0.0</v>
      </c>
      <c r="X62" s="11">
        <v>0.0</v>
      </c>
      <c r="Y62" s="11">
        <v>0.0</v>
      </c>
      <c r="Z62" s="11">
        <v>0.0</v>
      </c>
      <c r="AA62" s="11">
        <v>0.0</v>
      </c>
      <c r="AB62" s="11">
        <v>0.5</v>
      </c>
      <c r="AC62" s="11">
        <v>0.5</v>
      </c>
    </row>
    <row r="63" ht="15.75" customHeight="1">
      <c r="A63" s="38" t="s">
        <v>57</v>
      </c>
      <c r="B63" s="13">
        <v>0.0</v>
      </c>
      <c r="C63" s="13">
        <v>0.0</v>
      </c>
      <c r="D63" s="13">
        <v>0.0</v>
      </c>
      <c r="E63" s="13">
        <v>0.0</v>
      </c>
      <c r="F63" s="13">
        <v>0.0</v>
      </c>
      <c r="G63" s="13">
        <v>0.0</v>
      </c>
      <c r="H63" s="13">
        <v>0.0</v>
      </c>
      <c r="I63" s="13">
        <v>0.0</v>
      </c>
      <c r="J63" s="13">
        <v>0.0</v>
      </c>
      <c r="K63" s="13">
        <v>0.0</v>
      </c>
      <c r="L63" s="13">
        <v>0.0</v>
      </c>
      <c r="M63" s="13">
        <v>0.0</v>
      </c>
      <c r="N63" s="13">
        <v>0.0</v>
      </c>
      <c r="O63" s="13">
        <v>0.0</v>
      </c>
      <c r="P63" s="13">
        <v>0.0</v>
      </c>
      <c r="Q63" s="13">
        <v>0.0</v>
      </c>
      <c r="R63" s="13">
        <v>0.0</v>
      </c>
      <c r="S63" s="13">
        <v>0.0</v>
      </c>
      <c r="T63" s="13">
        <v>0.0</v>
      </c>
      <c r="U63" s="13">
        <v>0.0</v>
      </c>
      <c r="V63" s="13">
        <v>0.0</v>
      </c>
      <c r="W63" s="13">
        <v>0.0</v>
      </c>
      <c r="X63" s="13">
        <v>0.0</v>
      </c>
      <c r="Y63" s="13">
        <v>0.0</v>
      </c>
      <c r="Z63" s="13">
        <v>0.0</v>
      </c>
      <c r="AA63" s="13">
        <v>0.0</v>
      </c>
      <c r="AB63" s="39">
        <v>1.0</v>
      </c>
      <c r="AC63" s="39">
        <v>1.0</v>
      </c>
    </row>
    <row r="64" ht="15.75" customHeight="1">
      <c r="A64" s="38" t="s">
        <v>58</v>
      </c>
      <c r="B64" s="13">
        <v>0.0</v>
      </c>
      <c r="C64" s="13">
        <v>0.0</v>
      </c>
      <c r="D64" s="13">
        <v>0.0</v>
      </c>
      <c r="E64" s="13">
        <v>0.0</v>
      </c>
      <c r="F64" s="13">
        <v>0.0</v>
      </c>
      <c r="G64" s="13">
        <v>0.0</v>
      </c>
      <c r="H64" s="13">
        <v>0.0</v>
      </c>
      <c r="I64" s="13">
        <v>0.0</v>
      </c>
      <c r="J64" s="13">
        <v>0.0</v>
      </c>
      <c r="K64" s="13">
        <v>0.0</v>
      </c>
      <c r="L64" s="13">
        <v>0.0</v>
      </c>
      <c r="M64" s="13">
        <v>0.0</v>
      </c>
      <c r="N64" s="13">
        <v>0.0</v>
      </c>
      <c r="O64" s="13">
        <v>0.0</v>
      </c>
      <c r="P64" s="13">
        <v>0.0</v>
      </c>
      <c r="Q64" s="13">
        <v>0.0</v>
      </c>
      <c r="R64" s="13">
        <v>0.0</v>
      </c>
      <c r="S64" s="13">
        <v>0.0</v>
      </c>
      <c r="T64" s="13">
        <v>0.0</v>
      </c>
      <c r="U64" s="13">
        <v>0.0</v>
      </c>
      <c r="V64" s="13">
        <v>0.0</v>
      </c>
      <c r="W64" s="13">
        <v>0.0</v>
      </c>
      <c r="X64" s="13">
        <v>0.0</v>
      </c>
      <c r="Y64" s="13">
        <v>0.0</v>
      </c>
      <c r="Z64" s="13">
        <v>0.0</v>
      </c>
      <c r="AA64" s="13">
        <v>0.0</v>
      </c>
      <c r="AB64" s="13">
        <v>0.5</v>
      </c>
      <c r="AC64" s="13">
        <v>0.5</v>
      </c>
    </row>
    <row r="65" ht="15.75" customHeight="1">
      <c r="A65" s="40" t="s">
        <v>59</v>
      </c>
      <c r="B65" s="41">
        <v>0.0</v>
      </c>
      <c r="C65" s="41">
        <v>0.0</v>
      </c>
      <c r="D65" s="41">
        <v>0.0</v>
      </c>
      <c r="E65" s="41">
        <v>0.0</v>
      </c>
      <c r="F65" s="41">
        <v>0.0</v>
      </c>
      <c r="G65" s="41">
        <v>0.0</v>
      </c>
      <c r="H65" s="41">
        <v>0.0</v>
      </c>
      <c r="I65" s="41">
        <v>0.0</v>
      </c>
      <c r="J65" s="41">
        <v>0.0</v>
      </c>
      <c r="K65" s="41">
        <v>0.0</v>
      </c>
      <c r="L65" s="41">
        <v>0.0</v>
      </c>
      <c r="M65" s="41">
        <v>0.0</v>
      </c>
      <c r="N65" s="41">
        <v>0.0</v>
      </c>
      <c r="O65" s="41">
        <v>0.0</v>
      </c>
      <c r="P65" s="41">
        <v>0.0</v>
      </c>
      <c r="Q65" s="41">
        <v>0.0</v>
      </c>
      <c r="R65" s="41">
        <v>0.0</v>
      </c>
      <c r="S65" s="41">
        <v>0.0</v>
      </c>
      <c r="T65" s="41">
        <v>0.0</v>
      </c>
      <c r="U65" s="41">
        <v>0.0</v>
      </c>
      <c r="V65" s="41">
        <v>0.0</v>
      </c>
      <c r="W65" s="41">
        <v>0.0</v>
      </c>
      <c r="X65" s="41">
        <v>0.0</v>
      </c>
      <c r="Y65" s="41">
        <v>0.0</v>
      </c>
      <c r="Z65" s="41">
        <v>0.0</v>
      </c>
      <c r="AA65" s="41">
        <v>0.0</v>
      </c>
      <c r="AB65" s="42">
        <v>0.0</v>
      </c>
      <c r="AC65" s="42">
        <v>1.0</v>
      </c>
    </row>
    <row r="66" ht="15.75" customHeight="1"/>
    <row r="67" ht="15.75" customHeight="1"/>
    <row r="68" ht="15.75" customHeight="1">
      <c r="B68" s="43">
        <f t="shared" ref="B68:AC68" si="9">B2-60</f>
        <v>-2</v>
      </c>
      <c r="C68" s="43">
        <f t="shared" si="9"/>
        <v>-6</v>
      </c>
      <c r="D68" s="43">
        <f t="shared" si="9"/>
        <v>-9</v>
      </c>
      <c r="E68" s="43">
        <f t="shared" si="9"/>
        <v>-12</v>
      </c>
      <c r="F68" s="43">
        <f t="shared" si="9"/>
        <v>-14</v>
      </c>
      <c r="G68" s="43">
        <f t="shared" si="9"/>
        <v>-17</v>
      </c>
      <c r="H68" s="43">
        <f t="shared" si="9"/>
        <v>-21</v>
      </c>
      <c r="I68" s="43">
        <f t="shared" si="9"/>
        <v>-25</v>
      </c>
      <c r="J68" s="43">
        <f t="shared" si="9"/>
        <v>-27</v>
      </c>
      <c r="K68" s="43">
        <f t="shared" si="9"/>
        <v>-32</v>
      </c>
      <c r="L68" s="43">
        <f t="shared" si="9"/>
        <v>-33</v>
      </c>
      <c r="M68" s="43">
        <f t="shared" si="9"/>
        <v>-34</v>
      </c>
      <c r="N68" s="43">
        <f t="shared" si="9"/>
        <v>-36</v>
      </c>
      <c r="O68" s="43">
        <f t="shared" si="9"/>
        <v>-38</v>
      </c>
      <c r="P68" s="43">
        <f t="shared" si="9"/>
        <v>-41</v>
      </c>
      <c r="Q68" s="43">
        <f t="shared" si="9"/>
        <v>-44</v>
      </c>
      <c r="R68" s="43">
        <f t="shared" si="9"/>
        <v>-44</v>
      </c>
      <c r="S68" s="43">
        <f t="shared" si="9"/>
        <v>-45</v>
      </c>
      <c r="T68" s="43">
        <f t="shared" si="9"/>
        <v>-45</v>
      </c>
      <c r="U68" s="43">
        <f t="shared" si="9"/>
        <v>-47</v>
      </c>
      <c r="V68" s="43">
        <f t="shared" si="9"/>
        <v>-47</v>
      </c>
      <c r="W68" s="43">
        <f t="shared" si="9"/>
        <v>-48</v>
      </c>
      <c r="X68" s="43">
        <f t="shared" si="9"/>
        <v>-51</v>
      </c>
      <c r="Y68" s="43">
        <f t="shared" si="9"/>
        <v>-52</v>
      </c>
      <c r="Z68" s="43">
        <f t="shared" si="9"/>
        <v>-54</v>
      </c>
      <c r="AA68" s="43">
        <f t="shared" si="9"/>
        <v>-56</v>
      </c>
      <c r="AB68" s="43">
        <f t="shared" si="9"/>
        <v>-56</v>
      </c>
      <c r="AC68" s="43">
        <f t="shared" si="9"/>
        <v>-60</v>
      </c>
    </row>
    <row r="69" ht="15.75" customHeight="1">
      <c r="B69" s="2">
        <v>45795.0</v>
      </c>
      <c r="C69" s="2">
        <f t="shared" ref="C69:AC69" si="10">B69+1</f>
        <v>45796</v>
      </c>
      <c r="D69" s="2">
        <f t="shared" si="10"/>
        <v>45797</v>
      </c>
      <c r="E69" s="2">
        <f t="shared" si="10"/>
        <v>45798</v>
      </c>
      <c r="F69" s="2">
        <f t="shared" si="10"/>
        <v>45799</v>
      </c>
      <c r="G69" s="2">
        <f t="shared" si="10"/>
        <v>45800</v>
      </c>
      <c r="H69" s="2">
        <f t="shared" si="10"/>
        <v>45801</v>
      </c>
      <c r="I69" s="2">
        <f t="shared" si="10"/>
        <v>45802</v>
      </c>
      <c r="J69" s="2">
        <f t="shared" si="10"/>
        <v>45803</v>
      </c>
      <c r="K69" s="2">
        <f t="shared" si="10"/>
        <v>45804</v>
      </c>
      <c r="L69" s="2">
        <f t="shared" si="10"/>
        <v>45805</v>
      </c>
      <c r="M69" s="2">
        <f t="shared" si="10"/>
        <v>45806</v>
      </c>
      <c r="N69" s="2">
        <f t="shared" si="10"/>
        <v>45807</v>
      </c>
      <c r="O69" s="2">
        <f t="shared" si="10"/>
        <v>45808</v>
      </c>
      <c r="P69" s="2">
        <f t="shared" si="10"/>
        <v>45809</v>
      </c>
      <c r="Q69" s="2">
        <f t="shared" si="10"/>
        <v>45810</v>
      </c>
      <c r="R69" s="2">
        <f t="shared" si="10"/>
        <v>45811</v>
      </c>
      <c r="S69" s="2">
        <f t="shared" si="10"/>
        <v>45812</v>
      </c>
      <c r="T69" s="2">
        <f t="shared" si="10"/>
        <v>45813</v>
      </c>
      <c r="U69" s="2">
        <f t="shared" si="10"/>
        <v>45814</v>
      </c>
      <c r="V69" s="2">
        <f t="shared" si="10"/>
        <v>45815</v>
      </c>
      <c r="W69" s="2">
        <f t="shared" si="10"/>
        <v>45816</v>
      </c>
      <c r="X69" s="2">
        <f t="shared" si="10"/>
        <v>45817</v>
      </c>
      <c r="Y69" s="2">
        <f t="shared" si="10"/>
        <v>45818</v>
      </c>
      <c r="Z69" s="2">
        <f t="shared" si="10"/>
        <v>45819</v>
      </c>
      <c r="AA69" s="2">
        <f t="shared" si="10"/>
        <v>45820</v>
      </c>
      <c r="AB69" s="2">
        <f t="shared" si="10"/>
        <v>45821</v>
      </c>
      <c r="AC69" s="2">
        <f t="shared" si="10"/>
        <v>45822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4:AC4"/>
    <mergeCell ref="B5:AC5"/>
  </mergeCells>
  <drawing r:id="rId1"/>
</worksheet>
</file>