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0w7qrvMxVeDe7EGZ+/f/Qdj9d0vXEgW31g0Bb2Ote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======
ID#AAABlz1N0zo
    (2025-06-18 17:46:58)
listo
	-maty godoy</t>
      </text>
    </comment>
    <comment authorId="0" ref="A41">
      <text>
        <t xml:space="preserve">======
ID#AAABlz1N0zk
    (2025-06-18 17:46:58)
listo
	-maty godoy</t>
      </text>
    </comment>
    <comment authorId="0" ref="A78">
      <text>
        <t xml:space="preserve">======
ID#AAABlz1N0zc
    (2025-06-18 17:46:58)
listo
	-maty godoy</t>
      </text>
    </comment>
    <comment authorId="0" ref="A71">
      <text>
        <t xml:space="preserve">======
ID#AAABlz1N0zg
    (2025-06-18 17:46:58)
listo
	-maty godoy</t>
      </text>
    </comment>
    <comment authorId="0" ref="A66">
      <text>
        <t xml:space="preserve">======
ID#AAABlz1N0zY
    (2025-06-18 17:46:58)
listo
	-maty godoy</t>
      </text>
    </comment>
    <comment authorId="0" ref="B2">
      <text>
        <t xml:space="preserve">======
ID#AAABlz1N0zQ
    (2025-06-18 17:46:58)
cada caso de uso tiene muchas tareas
	-maty godoy</t>
      </text>
    </comment>
    <comment authorId="0" ref="A50">
      <text>
        <t xml:space="preserve">======
ID#AAABlz1N0zU
    (2025-06-18 17:46:58)
listo
	-maty godoy</t>
      </text>
    </comment>
    <comment authorId="0" ref="A25">
      <text>
        <t xml:space="preserve">======
ID#AAABlz1N0zM
    (2025-06-18 17:46:58)
listo
	-maty godoy</t>
      </text>
    </comment>
  </commentList>
  <extLst>
    <ext uri="GoogleSheetsCustomDataVersion2">
      <go:sheetsCustomData xmlns:go="http://customooxmlschemas.google.com/" r:id="rId1" roundtripDataSignature="AMtx7mi/d0UffTct3Sdtakfxlih6g3mEBA=="/>
    </ext>
  </extLst>
</comments>
</file>

<file path=xl/sharedStrings.xml><?xml version="1.0" encoding="utf-8"?>
<sst xmlns="http://schemas.openxmlformats.org/spreadsheetml/2006/main" count="423" uniqueCount="193">
  <si>
    <t>pila del producto</t>
  </si>
  <si>
    <t>Fecha estimado</t>
  </si>
  <si>
    <t>caso de uso</t>
  </si>
  <si>
    <t>Tarea</t>
  </si>
  <si>
    <t>Responsable</t>
  </si>
  <si>
    <t>Estimar HH</t>
  </si>
  <si>
    <t>Estado</t>
  </si>
  <si>
    <t>Objetivo del sprint</t>
  </si>
  <si>
    <t>Inicio</t>
  </si>
  <si>
    <t>Fin</t>
  </si>
  <si>
    <t>Diseñar interfaz inicio sesión</t>
  </si>
  <si>
    <t>Marco Solar</t>
  </si>
  <si>
    <t>Pendiente</t>
  </si>
  <si>
    <t>Desarollar el diseño del login con los campos correo y contraseña, y un boton para aceptar e iniciar sesion</t>
  </si>
  <si>
    <t>Redireccion a inicio de sesión</t>
  </si>
  <si>
    <t>Habilitar en pagina inicial un boton para redireccionar a la persona a un entorno para que pueda iniciar sesion</t>
  </si>
  <si>
    <t>Comprobar cuenta existente</t>
  </si>
  <si>
    <t>Implementar un verificador que revisa si el correo usado pertenece a una cuenta existente para la pagina</t>
  </si>
  <si>
    <t>Crear formulario inicar sesión</t>
  </si>
  <si>
    <t>Programar el formulario con los campos y boton</t>
  </si>
  <si>
    <t>Evitar campos vacios</t>
  </si>
  <si>
    <t>Implemetar una comprobacion cuando falta algun campo vacio, evitando que se inicie secion si no se han rellenado todos los campos</t>
  </si>
  <si>
    <t>Evitar error de inicio de sesión</t>
  </si>
  <si>
    <t>Implementar un mensaje tipo texto que aparece cuando los campos  correo o contraseña son incorectos</t>
  </si>
  <si>
    <t>Crear formulario de subida</t>
  </si>
  <si>
    <t>Programar el formulario con los campos  para subir 1 o mas documentos</t>
  </si>
  <si>
    <t>Implementar una comprobacion cuando no se han subido un minimo de documentos (1), evitando que la accion prosiga al siguiente paso</t>
  </si>
  <si>
    <t>Comprobar formato de documento</t>
  </si>
  <si>
    <t>Implementar un verificador que revisa el formato de documento subido con los formados permitidos segun la validacion de documento, y denegar los que tenga un formato distinto</t>
  </si>
  <si>
    <t>Evitar error de subida</t>
  </si>
  <si>
    <t>Implementar un mensaje tipo texto que aparece al apretar boton "enviar" cuando no se subio el/los documento(s) o el formato es incorecto</t>
  </si>
  <si>
    <t>Comprobar documento subido</t>
  </si>
  <si>
    <t>Implemetnar un verificador que revisa en la base de datos si el documento termino de ser subido</t>
  </si>
  <si>
    <t>Mensaje documento subido</t>
  </si>
  <si>
    <t>Implementar un mensaje tipo texto que aparece luego de que se comprobo la subida del documento</t>
  </si>
  <si>
    <t>Crear lista categoria</t>
  </si>
  <si>
    <t>Crear una lista con las categorias que estaran disponibles a elegir para el documento</t>
  </si>
  <si>
    <t>Crear formulario de gestion documento</t>
  </si>
  <si>
    <t>Programar el formulario con los campos y botones para elegir la categoria deseada</t>
  </si>
  <si>
    <t>Actualizar categoria documento</t>
  </si>
  <si>
    <t>Conectar con el backend la seleccion en el formulario la categoria elegida y apretar el boton para actualizar la categoria del documneto</t>
  </si>
  <si>
    <t>Comprobar categiria guardada</t>
  </si>
  <si>
    <t>Implementar un verificador que revisa la base de datos que la categoria escogida coincida con la categoria del documento luego de actualizar la categoria del documento</t>
  </si>
  <si>
    <t>Evitar error categoria</t>
  </si>
  <si>
    <t>Implementar un mensaje tipo texto que aparece cuando no se ha elegido la categoria del documento al apretar el boton para colocar la categoria al documento</t>
  </si>
  <si>
    <t>Implementar formulario de busqueda</t>
  </si>
  <si>
    <t>Programar los campos para palabra clave, categoria y boton de busqueda</t>
  </si>
  <si>
    <t>Conectar con backend</t>
  </si>
  <si>
    <t>Configurar el envio de los filtros</t>
  </si>
  <si>
    <t>Implementar funcion de busqueda</t>
  </si>
  <si>
    <t>Programar la logica para buscar el documento segun los criterios recibidos</t>
  </si>
  <si>
    <t>Mostrar resultados de busqueda</t>
  </si>
  <si>
    <t>Diseñar y programar la visualizacion de los resultados de busqueda.</t>
  </si>
  <si>
    <t>Mostrar paginacion / scroll</t>
  </si>
  <si>
    <t>Si el numero de documento supera una cantidad, se implementa paginacion o scroll.</t>
  </si>
  <si>
    <t>Comprobar permisos</t>
  </si>
  <si>
    <t>Implementar comprobador que asegure que el documento pueda ser visto por los usuarios autorizados por rol.</t>
  </si>
  <si>
    <t>Implementar una comprovacion cuando no se cumple el minimo de campos rellenados al apretar boton buscar.</t>
  </si>
  <si>
    <t>Evitar error de buscador de documentos</t>
  </si>
  <si>
    <t>Implementar un mensaje tipo texto que aparesca cuando no se encontro el documento.</t>
  </si>
  <si>
    <t>Implementar boton de descarga</t>
  </si>
  <si>
    <t>Implementar botones que permitan al usuario elegir descarga de documento</t>
  </si>
  <si>
    <t>implemetnar logica de descarga</t>
  </si>
  <si>
    <t>Programar el inicio de la descarga cuando el usuario seleccione la opción "descargar"</t>
  </si>
  <si>
    <t>mensaje de descarga</t>
  </si>
  <si>
    <t>Implementar un mensaje tipo texto que aparece luego de que se inicie la descarga del cocumento.</t>
  </si>
  <si>
    <t>Evirtar error descarga</t>
  </si>
  <si>
    <t>Implementar un comprovante para asegurar la descarga del documento seleccionado</t>
  </si>
  <si>
    <t>Implementar formulario de registro</t>
  </si>
  <si>
    <t>Programar el formulario con los campos a llenar y boton "aceptar".</t>
  </si>
  <si>
    <t>Comprobar datos</t>
  </si>
  <si>
    <t>Implementar un comprobante para que los datos ingresados tengan los formatos validos de nombre, correo termine en "@gmail.com" y contraseña tenga un minimo de caracteres.</t>
  </si>
  <si>
    <t>Programar el envio de datos para registrar usuarios.</t>
  </si>
  <si>
    <t>Comprobar correo existente</t>
  </si>
  <si>
    <t>Implementar una comprobacion en la base de datos que el correo ingresado no este registrado antes de crear la cuenta.</t>
  </si>
  <si>
    <t>Guardar datos</t>
  </si>
  <si>
    <t>Guardar los datos del nuevo usuario en la base de datos.</t>
  </si>
  <si>
    <t>Mensaje de usuario registrado</t>
  </si>
  <si>
    <t>Implementar un mensaje tipo texto y redirigir al usuario a la pantalla login luego de crear el usuario de forma exitosa.</t>
  </si>
  <si>
    <t>Evitar error de registro</t>
  </si>
  <si>
    <t>Implemetar un mensaje tipo texto que aparece cuando un campo sin llenar.</t>
  </si>
  <si>
    <t>Implementar formulario de recuperacion</t>
  </si>
  <si>
    <t>Programar el formulario con los campos de correo de la cuenta.</t>
  </si>
  <si>
    <t>Implementar una comprobacion en la base de datos para que el correo ingresado no este registrado antes de crear la cuenta.</t>
  </si>
  <si>
    <t>Generar codigo recuperacion</t>
  </si>
  <si>
    <t>Crear un codigo unico que solo podra ser usado con el correo del usuario y con un limite de tiempo de uso para cambiar la contraseña de la cuenta.</t>
  </si>
  <si>
    <t>Enviar codigo recuperacion</t>
  </si>
  <si>
    <t>Programar un envio via email al usuario que contenga un codigo y el link de la plataforma, para cambiar la contraseña.</t>
  </si>
  <si>
    <t>Diseñar interfaz de cambio de contraseña</t>
  </si>
  <si>
    <t>Diseñar la interfaz para que el usuario ingrese el codigo, junto a la nueva contraseña, y boton para completar la accion.</t>
  </si>
  <si>
    <t>Validacion de codigo recuperacion</t>
  </si>
  <si>
    <t>Implementar un verificador para el codigo que compruebe que este coresponda al codigo para cambiar contraseña.</t>
  </si>
  <si>
    <t>Actualizar contraseña</t>
  </si>
  <si>
    <t>Cambiar la antigua contraseña con la nueva contraseña en la base de datos despues de apretar el boton de confirmar.</t>
  </si>
  <si>
    <t>Confirmar cambio contraseña</t>
  </si>
  <si>
    <t>Implementar un mensaje tipo texto que diga "contraseña cambiada" y despues rediriga a la pagina de inicio de sesion.</t>
  </si>
  <si>
    <t>Evitar error de recuperacion de contraseña</t>
  </si>
  <si>
    <t>Implementar un mensaje tipo texto cuando los campos de correo, codigo y contraseña esten vacios; cuando el correo no existe o el codigo es incorrecto o expire.</t>
  </si>
  <si>
    <t>Implementar boton de visualizar</t>
  </si>
  <si>
    <t>Terminado</t>
  </si>
  <si>
    <t>Agregar en interfaz un boton "ver en cada documento.</t>
  </si>
  <si>
    <t>Funcion de visualizacion</t>
  </si>
  <si>
    <t>porgramar la visualizacion de documento</t>
  </si>
  <si>
    <t>Evitar error de visualizacion</t>
  </si>
  <si>
    <t>Implementar un mensaje cuando no se puede cargar la vista previa.</t>
  </si>
  <si>
    <t>Comprobar formato</t>
  </si>
  <si>
    <t>Implementar una validacion para el tipo de archivo antes de subir el documento.</t>
  </si>
  <si>
    <t>Evitar error de validar</t>
  </si>
  <si>
    <t>Implementar un mensaje tipo texto cuando el archivo no cumple con los formatos, ademas de mostrar las extenciones de documento permitido.</t>
  </si>
  <si>
    <t>Reintento de validar</t>
  </si>
  <si>
    <t>Permitir el reintento para comprobar que el documento cumple los requisitos.</t>
  </si>
  <si>
    <t>Registro ultima accion del usuario</t>
  </si>
  <si>
    <t>Guardar de forma continua la ultima accion y el tiempo de la ultima interaccion, reemplazando la anterior, y reiniciando el contador, este registro deja de trabajar cuando se cierra sesion de forma automatica o el usuario cierre sesion de forma voluntaria antes de que el contador llegue a 0.</t>
  </si>
  <si>
    <t>Definir tiempo maximo</t>
  </si>
  <si>
    <t>Definir en el sistema el tiempo maximo sin actividad (30 minutos).</t>
  </si>
  <si>
    <t>Cerrar sesion automatico</t>
  </si>
  <si>
    <t>Cerrar sesion tras sobrepasar el tiempo maximo sin actividad.</t>
  </si>
  <si>
    <t>Redirigir a inicio sesión</t>
  </si>
  <si>
    <t>Redirige al usuario a la pantalla de inicio de sesion luego de recargar pagina o ir a otra parte de la pagina.</t>
  </si>
  <si>
    <t>Evitar error al cerrar sesión</t>
  </si>
  <si>
    <t>Implementar un verificador que compruebe que la persona este con la sesion iniciada para navegar en la pagina.</t>
  </si>
  <si>
    <t>mostrar grafico en tiempo real</t>
  </si>
  <si>
    <t>Diseñar una vista que permita al adminstrador ver los graficos actualizados</t>
  </si>
  <si>
    <t>generar grafico de estadisticas</t>
  </si>
  <si>
    <t>Desarollar un grafico de barras para los documentos subidos</t>
  </si>
  <si>
    <t>recalcular y actualizar grafico</t>
  </si>
  <si>
    <t>Permite que el grafico se actualice dinamicamente sobre el total de documentos subidos</t>
  </si>
  <si>
    <t>Evitar error al generar grafico</t>
  </si>
  <si>
    <t>Implementar un comprovante para los documentos y sus categorias a la hora de grafiar los datos</t>
  </si>
  <si>
    <t>incremento</t>
  </si>
  <si>
    <t>cantidad de casos</t>
  </si>
  <si>
    <t>porcentaje %</t>
  </si>
  <si>
    <t>porcentaje acumulado %</t>
  </si>
  <si>
    <t>incremento 1</t>
  </si>
  <si>
    <t>caso 1</t>
  </si>
  <si>
    <t>caso 2</t>
  </si>
  <si>
    <t>caso 3</t>
  </si>
  <si>
    <t>caso 4</t>
  </si>
  <si>
    <t>caso 5</t>
  </si>
  <si>
    <t>caso 11</t>
  </si>
  <si>
    <t>caso 12</t>
  </si>
  <si>
    <t>caso 16</t>
  </si>
  <si>
    <t>caso 20</t>
  </si>
  <si>
    <t>caso 22</t>
  </si>
  <si>
    <t>caso 52</t>
  </si>
  <si>
    <t>incremento 2</t>
  </si>
  <si>
    <t>caso 6</t>
  </si>
  <si>
    <t>caso 7</t>
  </si>
  <si>
    <t>caso 8</t>
  </si>
  <si>
    <t>caso 9</t>
  </si>
  <si>
    <t>caso 10</t>
  </si>
  <si>
    <t>caso 13</t>
  </si>
  <si>
    <t>caso 14</t>
  </si>
  <si>
    <t>caso 15</t>
  </si>
  <si>
    <t>caso 17</t>
  </si>
  <si>
    <t>caso 18</t>
  </si>
  <si>
    <t>caso 21</t>
  </si>
  <si>
    <t>caso 23</t>
  </si>
  <si>
    <t>caso 24</t>
  </si>
  <si>
    <t>caso 25</t>
  </si>
  <si>
    <t>caso 26</t>
  </si>
  <si>
    <t>caso 27</t>
  </si>
  <si>
    <t>caso 28</t>
  </si>
  <si>
    <t>caso 29</t>
  </si>
  <si>
    <t>caso 30</t>
  </si>
  <si>
    <t>caso 32</t>
  </si>
  <si>
    <t>caso 33</t>
  </si>
  <si>
    <t>caso 34</t>
  </si>
  <si>
    <t>caso 37</t>
  </si>
  <si>
    <t>caso 40</t>
  </si>
  <si>
    <t>caso 42</t>
  </si>
  <si>
    <t>caso 44</t>
  </si>
  <si>
    <t>caso 49</t>
  </si>
  <si>
    <t>caso 50</t>
  </si>
  <si>
    <t>caso 54</t>
  </si>
  <si>
    <t>incremento 3</t>
  </si>
  <si>
    <t>caso 31</t>
  </si>
  <si>
    <t>caso 35</t>
  </si>
  <si>
    <t>caso 36</t>
  </si>
  <si>
    <t>caso 38</t>
  </si>
  <si>
    <t>caso 39</t>
  </si>
  <si>
    <t>caso 41</t>
  </si>
  <si>
    <t>caso 43</t>
  </si>
  <si>
    <t>caso 45</t>
  </si>
  <si>
    <t>caso 46</t>
  </si>
  <si>
    <t>incremento 4</t>
  </si>
  <si>
    <t>caso 47</t>
  </si>
  <si>
    <t>caso 48</t>
  </si>
  <si>
    <t>caso 51</t>
  </si>
  <si>
    <t>caso 53</t>
  </si>
  <si>
    <t>caso 55</t>
  </si>
  <si>
    <t>caso 56</t>
  </si>
  <si>
    <t>caso 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</si>
</sst>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"/>
    <numFmt numFmtId="165" formatCode="dd/mm/yy"/>
    <numFmt numFmtId="166" formatCode="dd-mm-yyyy"/>
    <numFmt numFmtId="167" formatCode="dd/mm/yyyy"/>
  </numFmts>
  <fonts count="5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CC4125"/>
        <bgColor rgb="FFCC4125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3" fillId="0" fontId="2" numFmtId="0" xfId="0" applyBorder="1" applyFont="1"/>
    <xf borderId="4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5" fillId="2" fontId="1" numFmtId="0" xfId="0" applyAlignment="1" applyBorder="1" applyFont="1">
      <alignment readingOrder="0" shrinkToFit="0" wrapText="1"/>
    </xf>
    <xf borderId="6" fillId="4" fontId="1" numFmtId="0" xfId="0" applyAlignment="1" applyBorder="1" applyFill="1" applyFont="1">
      <alignment shrinkToFit="0" wrapText="1"/>
    </xf>
    <xf borderId="3" fillId="3" fontId="1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0" fillId="5" fontId="1" numFmtId="0" xfId="0" applyAlignment="1" applyFont="1">
      <alignment shrinkToFit="0" wrapText="1"/>
    </xf>
    <xf borderId="0" fillId="5" fontId="1" numFmtId="0" xfId="0" applyFont="1"/>
    <xf borderId="0" fillId="5" fontId="1" numFmtId="0" xfId="0" applyAlignment="1" applyFont="1">
      <alignment readingOrder="0"/>
    </xf>
    <xf borderId="8" fillId="5" fontId="1" numFmtId="0" xfId="0" applyAlignment="1" applyBorder="1" applyFont="1">
      <alignment shrinkToFit="0" wrapText="1"/>
    </xf>
    <xf borderId="8" fillId="5" fontId="1" numFmtId="164" xfId="0" applyBorder="1" applyFont="1" applyNumberFormat="1"/>
    <xf borderId="9" fillId="5" fontId="1" numFmtId="165" xfId="0" applyBorder="1" applyFont="1" applyNumberFormat="1"/>
    <xf borderId="9" fillId="5" fontId="3" numFmtId="0" xfId="0" applyAlignment="1" applyBorder="1" applyFont="1">
      <alignment shrinkToFit="0" wrapText="1"/>
    </xf>
    <xf borderId="0" fillId="5" fontId="3" numFmtId="0" xfId="0" applyAlignment="1" applyFont="1">
      <alignment shrinkToFit="0" wrapText="1"/>
    </xf>
    <xf borderId="0" fillId="5" fontId="3" numFmtId="0" xfId="0" applyFont="1"/>
    <xf borderId="0" fillId="5" fontId="3" numFmtId="0" xfId="0" applyAlignment="1" applyFont="1">
      <alignment readingOrder="0"/>
    </xf>
    <xf borderId="8" fillId="5" fontId="3" numFmtId="0" xfId="0" applyAlignment="1" applyBorder="1" applyFont="1">
      <alignment shrinkToFit="0" wrapText="1"/>
    </xf>
    <xf borderId="8" fillId="5" fontId="3" numFmtId="164" xfId="0" applyBorder="1" applyFont="1" applyNumberFormat="1"/>
    <xf borderId="8" fillId="5" fontId="3" numFmtId="166" xfId="0" applyBorder="1" applyFont="1" applyNumberFormat="1"/>
    <xf borderId="8" fillId="5" fontId="3" numFmtId="167" xfId="0" applyBorder="1" applyFont="1" applyNumberFormat="1"/>
    <xf borderId="9" fillId="5" fontId="3" numFmtId="0" xfId="0" applyBorder="1" applyFont="1"/>
    <xf borderId="9" fillId="6" fontId="3" numFmtId="0" xfId="0" applyAlignment="1" applyBorder="1" applyFill="1" applyFont="1">
      <alignment shrinkToFit="0" wrapText="1"/>
    </xf>
    <xf borderId="0" fillId="6" fontId="3" numFmtId="0" xfId="0" applyAlignment="1" applyFont="1">
      <alignment shrinkToFit="0" wrapText="1"/>
    </xf>
    <xf borderId="0" fillId="6" fontId="3" numFmtId="0" xfId="0" applyFont="1"/>
    <xf borderId="0" fillId="6" fontId="3" numFmtId="0" xfId="0" applyAlignment="1" applyFont="1">
      <alignment readingOrder="0"/>
    </xf>
    <xf borderId="8" fillId="6" fontId="3" numFmtId="0" xfId="0" applyAlignment="1" applyBorder="1" applyFont="1">
      <alignment shrinkToFit="0" wrapText="1"/>
    </xf>
    <xf borderId="8" fillId="6" fontId="3" numFmtId="167" xfId="0" applyBorder="1" applyFont="1" applyNumberFormat="1"/>
    <xf borderId="9" fillId="6" fontId="1" numFmtId="165" xfId="0" applyBorder="1" applyFont="1" applyNumberFormat="1"/>
    <xf borderId="9" fillId="7" fontId="3" numFmtId="0" xfId="0" applyAlignment="1" applyBorder="1" applyFill="1" applyFont="1">
      <alignment shrinkToFit="0" wrapText="1"/>
    </xf>
    <xf borderId="0" fillId="7" fontId="3" numFmtId="0" xfId="0" applyAlignment="1" applyFont="1">
      <alignment shrinkToFit="0" wrapText="1"/>
    </xf>
    <xf borderId="0" fillId="7" fontId="3" numFmtId="0" xfId="0" applyFont="1"/>
    <xf borderId="0" fillId="7" fontId="3" numFmtId="0" xfId="0" applyAlignment="1" applyFont="1">
      <alignment readingOrder="0"/>
    </xf>
    <xf borderId="8" fillId="7" fontId="3" numFmtId="0" xfId="0" applyAlignment="1" applyBorder="1" applyFont="1">
      <alignment shrinkToFit="0" wrapText="1"/>
    </xf>
    <xf borderId="8" fillId="7" fontId="3" numFmtId="167" xfId="0" applyBorder="1" applyFont="1" applyNumberFormat="1"/>
    <xf borderId="9" fillId="7" fontId="3" numFmtId="165" xfId="0" applyBorder="1" applyFont="1" applyNumberFormat="1"/>
    <xf borderId="9" fillId="8" fontId="3" numFmtId="0" xfId="0" applyAlignment="1" applyBorder="1" applyFill="1" applyFont="1">
      <alignment shrinkToFit="0" wrapText="1"/>
    </xf>
    <xf borderId="0" fillId="8" fontId="3" numFmtId="0" xfId="0" applyAlignment="1" applyFont="1">
      <alignment shrinkToFit="0" wrapText="1"/>
    </xf>
    <xf borderId="0" fillId="8" fontId="3" numFmtId="0" xfId="0" applyFont="1"/>
    <xf borderId="0" fillId="8" fontId="3" numFmtId="0" xfId="0" applyAlignment="1" applyFont="1">
      <alignment readingOrder="0"/>
    </xf>
    <xf borderId="8" fillId="8" fontId="3" numFmtId="0" xfId="0" applyAlignment="1" applyBorder="1" applyFont="1">
      <alignment shrinkToFit="0" wrapText="1"/>
    </xf>
    <xf borderId="8" fillId="8" fontId="3" numFmtId="167" xfId="0" applyBorder="1" applyFont="1" applyNumberFormat="1"/>
    <xf borderId="9" fillId="8" fontId="3" numFmtId="165" xfId="0" applyBorder="1" applyFont="1" applyNumberFormat="1"/>
    <xf borderId="0" fillId="9" fontId="3" numFmtId="0" xfId="0" applyAlignment="1" applyFill="1" applyFont="1">
      <alignment horizontal="right" readingOrder="0" vertical="bottom"/>
    </xf>
    <xf borderId="0" fillId="9" fontId="3" numFmtId="0" xfId="0" applyAlignment="1" applyFont="1">
      <alignment vertical="bottom"/>
    </xf>
    <xf borderId="0" fillId="9" fontId="3" numFmtId="0" xfId="0" applyAlignment="1" applyFont="1">
      <alignment horizontal="right" vertical="bottom"/>
    </xf>
    <xf borderId="7" fillId="9" fontId="3" numFmtId="0" xfId="0" applyAlignment="1" applyBorder="1" applyFont="1">
      <alignment shrinkToFit="0" vertical="bottom" wrapText="1"/>
    </xf>
    <xf borderId="0" fillId="9" fontId="3" numFmtId="167" xfId="0" applyAlignment="1" applyFont="1" applyNumberFormat="1">
      <alignment horizontal="right" readingOrder="0" vertical="bottom"/>
    </xf>
    <xf borderId="9" fillId="9" fontId="3" numFmtId="167" xfId="0" applyAlignment="1" applyBorder="1" applyFont="1" applyNumberFormat="1">
      <alignment horizontal="right" vertical="bottom"/>
    </xf>
    <xf borderId="9" fillId="9" fontId="3" numFmtId="167" xfId="0" applyAlignment="1" applyBorder="1" applyFont="1" applyNumberFormat="1">
      <alignment horizontal="right" readingOrder="0" vertical="bottom"/>
    </xf>
    <xf borderId="9" fillId="10" fontId="3" numFmtId="0" xfId="0" applyAlignment="1" applyBorder="1" applyFill="1" applyFont="1">
      <alignment readingOrder="0" shrinkToFit="0" wrapText="1"/>
    </xf>
    <xf borderId="0" fillId="10" fontId="3" numFmtId="0" xfId="0" applyAlignment="1" applyFont="1">
      <alignment shrinkToFit="0" wrapText="1"/>
    </xf>
    <xf borderId="0" fillId="10" fontId="3" numFmtId="0" xfId="0" applyFont="1"/>
    <xf borderId="0" fillId="10" fontId="3" numFmtId="0" xfId="0" applyAlignment="1" applyFont="1">
      <alignment readingOrder="0"/>
    </xf>
    <xf borderId="8" fillId="10" fontId="3" numFmtId="0" xfId="0" applyAlignment="1" applyBorder="1" applyFont="1">
      <alignment shrinkToFit="0" wrapText="1"/>
    </xf>
    <xf borderId="8" fillId="10" fontId="3" numFmtId="167" xfId="0" applyBorder="1" applyFont="1" applyNumberFormat="1"/>
    <xf borderId="9" fillId="10" fontId="3" numFmtId="165" xfId="0" applyBorder="1" applyFont="1" applyNumberFormat="1"/>
    <xf borderId="9" fillId="11" fontId="3" numFmtId="0" xfId="0" applyAlignment="1" applyBorder="1" applyFill="1" applyFont="1">
      <alignment readingOrder="0" shrinkToFit="0" wrapText="1"/>
    </xf>
    <xf borderId="0" fillId="11" fontId="3" numFmtId="0" xfId="0" applyAlignment="1" applyFont="1">
      <alignment shrinkToFit="0" wrapText="1"/>
    </xf>
    <xf borderId="0" fillId="11" fontId="3" numFmtId="0" xfId="0" applyFont="1"/>
    <xf borderId="0" fillId="11" fontId="3" numFmtId="0" xfId="0" applyAlignment="1" applyFont="1">
      <alignment readingOrder="0"/>
    </xf>
    <xf borderId="8" fillId="11" fontId="3" numFmtId="0" xfId="0" applyAlignment="1" applyBorder="1" applyFont="1">
      <alignment shrinkToFit="0" wrapText="1"/>
    </xf>
    <xf borderId="8" fillId="11" fontId="3" numFmtId="167" xfId="0" applyBorder="1" applyFont="1" applyNumberFormat="1"/>
    <xf borderId="9" fillId="11" fontId="3" numFmtId="165" xfId="0" applyBorder="1" applyFont="1" applyNumberFormat="1"/>
    <xf borderId="9" fillId="11" fontId="3" numFmtId="167" xfId="0" applyBorder="1" applyFont="1" applyNumberFormat="1"/>
    <xf borderId="9" fillId="12" fontId="3" numFmtId="0" xfId="0" applyAlignment="1" applyBorder="1" applyFill="1" applyFont="1">
      <alignment horizontal="right" readingOrder="0" shrinkToFit="0" vertical="bottom" wrapText="1"/>
    </xf>
    <xf borderId="0" fillId="12" fontId="3" numFmtId="0" xfId="0" applyAlignment="1" applyFont="1">
      <alignment shrinkToFit="0" vertical="bottom" wrapText="1"/>
    </xf>
    <xf borderId="0" fillId="12" fontId="3" numFmtId="0" xfId="0" applyAlignment="1" applyFont="1">
      <alignment vertical="bottom"/>
    </xf>
    <xf borderId="0" fillId="12" fontId="3" numFmtId="0" xfId="0" applyAlignment="1" applyFont="1">
      <alignment horizontal="center" vertical="bottom"/>
    </xf>
    <xf borderId="0" fillId="12" fontId="3" numFmtId="0" xfId="0" applyAlignment="1" applyFont="1">
      <alignment horizontal="center" vertical="bottom"/>
    </xf>
    <xf borderId="8" fillId="12" fontId="3" numFmtId="0" xfId="0" applyAlignment="1" applyBorder="1" applyFont="1">
      <alignment shrinkToFit="0" vertical="bottom" wrapText="1"/>
    </xf>
    <xf borderId="8" fillId="12" fontId="3" numFmtId="167" xfId="0" applyBorder="1" applyFont="1" applyNumberFormat="1"/>
    <xf borderId="9" fillId="12" fontId="3" numFmtId="165" xfId="0" applyBorder="1" applyFont="1" applyNumberFormat="1"/>
    <xf borderId="9" fillId="13" fontId="3" numFmtId="0" xfId="0" applyAlignment="1" applyBorder="1" applyFill="1" applyFont="1">
      <alignment readingOrder="0" shrinkToFit="0" wrapText="1"/>
    </xf>
    <xf borderId="0" fillId="13" fontId="3" numFmtId="0" xfId="0" applyAlignment="1" applyFont="1">
      <alignment shrinkToFit="0" wrapText="1"/>
    </xf>
    <xf borderId="0" fillId="13" fontId="3" numFmtId="0" xfId="0" applyFont="1"/>
    <xf borderId="0" fillId="13" fontId="3" numFmtId="0" xfId="0" applyAlignment="1" applyFont="1">
      <alignment readingOrder="0"/>
    </xf>
    <xf borderId="8" fillId="13" fontId="3" numFmtId="0" xfId="0" applyAlignment="1" applyBorder="1" applyFont="1">
      <alignment shrinkToFit="0" wrapText="1"/>
    </xf>
    <xf borderId="8" fillId="13" fontId="3" numFmtId="167" xfId="0" applyBorder="1" applyFont="1" applyNumberFormat="1"/>
    <xf borderId="9" fillId="13" fontId="3" numFmtId="165" xfId="0" applyBorder="1" applyFont="1" applyNumberFormat="1"/>
    <xf borderId="9" fillId="9" fontId="3" numFmtId="0" xfId="0" applyAlignment="1" applyBorder="1" applyFont="1">
      <alignment readingOrder="0"/>
    </xf>
    <xf borderId="0" fillId="9" fontId="3" numFmtId="0" xfId="0" applyAlignment="1" applyFont="1">
      <alignment shrinkToFit="0" wrapText="1"/>
    </xf>
    <xf borderId="0" fillId="9" fontId="3" numFmtId="0" xfId="0" applyFont="1"/>
    <xf borderId="0" fillId="9" fontId="3" numFmtId="0" xfId="0" applyAlignment="1" applyFont="1">
      <alignment readingOrder="0"/>
    </xf>
    <xf borderId="8" fillId="9" fontId="3" numFmtId="0" xfId="0" applyAlignment="1" applyBorder="1" applyFont="1">
      <alignment shrinkToFit="0" wrapText="1"/>
    </xf>
    <xf borderId="8" fillId="9" fontId="3" numFmtId="167" xfId="0" applyBorder="1" applyFont="1" applyNumberFormat="1"/>
    <xf borderId="9" fillId="9" fontId="3" numFmtId="165" xfId="0" applyBorder="1" applyFont="1" applyNumberFormat="1"/>
    <xf borderId="9" fillId="14" fontId="3" numFmtId="0" xfId="0" applyAlignment="1" applyBorder="1" applyFill="1" applyFont="1">
      <alignment horizontal="right" readingOrder="0" vertical="bottom"/>
    </xf>
    <xf borderId="0" fillId="14" fontId="3" numFmtId="0" xfId="0" applyAlignment="1" applyFont="1">
      <alignment shrinkToFit="0" vertical="bottom" wrapText="1"/>
    </xf>
    <xf borderId="0" fillId="14" fontId="3" numFmtId="0" xfId="0" applyAlignment="1" applyFont="1">
      <alignment vertical="bottom"/>
    </xf>
    <xf borderId="0" fillId="14" fontId="3" numFmtId="0" xfId="0" applyAlignment="1" applyFont="1">
      <alignment horizontal="center" vertical="bottom"/>
    </xf>
    <xf borderId="0" fillId="14" fontId="3" numFmtId="0" xfId="0" applyAlignment="1" applyFont="1">
      <alignment horizontal="center" readingOrder="0" vertical="bottom"/>
    </xf>
    <xf borderId="8" fillId="14" fontId="3" numFmtId="0" xfId="0" applyAlignment="1" applyBorder="1" applyFont="1">
      <alignment shrinkToFit="0" vertical="bottom" wrapText="1"/>
    </xf>
    <xf borderId="8" fillId="14" fontId="3" numFmtId="167" xfId="0" applyAlignment="1" applyBorder="1" applyFont="1" applyNumberFormat="1">
      <alignment horizontal="center" vertical="bottom"/>
    </xf>
    <xf borderId="9" fillId="14" fontId="3" numFmtId="165" xfId="0" applyAlignment="1" applyBorder="1" applyFont="1" applyNumberFormat="1">
      <alignment horizontal="center" vertical="bottom"/>
    </xf>
    <xf borderId="10" fillId="15" fontId="3" numFmtId="0" xfId="0" applyBorder="1" applyFill="1" applyFont="1"/>
    <xf borderId="11" fillId="15" fontId="3" numFmtId="0" xfId="0" applyBorder="1" applyFont="1"/>
    <xf borderId="11" fillId="15" fontId="3" numFmtId="0" xfId="0" applyAlignment="1" applyBorder="1" applyFont="1">
      <alignment shrinkToFit="0" wrapText="1"/>
    </xf>
    <xf borderId="10" fillId="9" fontId="3" numFmtId="0" xfId="0" applyBorder="1" applyFont="1"/>
    <xf borderId="10" fillId="9" fontId="3" numFmtId="0" xfId="0" applyAlignment="1" applyBorder="1" applyFont="1">
      <alignment readingOrder="0"/>
    </xf>
    <xf borderId="11" fillId="9" fontId="3" numFmtId="9" xfId="0" applyBorder="1" applyFont="1" applyNumberFormat="1"/>
    <xf borderId="7" fillId="16" fontId="3" numFmtId="0" xfId="0" applyBorder="1" applyFill="1" applyFont="1"/>
    <xf borderId="7" fillId="16" fontId="3" numFmtId="0" xfId="0" applyAlignment="1" applyBorder="1" applyFont="1">
      <alignment readingOrder="0"/>
    </xf>
    <xf borderId="9" fillId="16" fontId="3" numFmtId="9" xfId="0" applyBorder="1" applyFont="1" applyNumberFormat="1"/>
    <xf borderId="7" fillId="9" fontId="3" numFmtId="0" xfId="0" applyBorder="1" applyFont="1"/>
    <xf borderId="7" fillId="9" fontId="3" numFmtId="0" xfId="0" applyAlignment="1" applyBorder="1" applyFont="1">
      <alignment readingOrder="0"/>
    </xf>
    <xf borderId="9" fillId="9" fontId="3" numFmtId="9" xfId="0" applyAlignment="1" applyBorder="1" applyFont="1" applyNumberFormat="1">
      <alignment readingOrder="0"/>
    </xf>
    <xf borderId="9" fillId="9" fontId="3" numFmtId="9" xfId="0" applyBorder="1" applyFont="1" applyNumberFormat="1"/>
    <xf borderId="12" fillId="16" fontId="3" numFmtId="0" xfId="0" applyBorder="1" applyFont="1"/>
    <xf borderId="12" fillId="16" fontId="3" numFmtId="0" xfId="0" applyAlignment="1" applyBorder="1" applyFont="1">
      <alignment readingOrder="0"/>
    </xf>
    <xf borderId="13" fillId="16" fontId="3" numFmtId="9" xfId="0" applyAlignment="1" applyBorder="1" applyFont="1" applyNumberFormat="1">
      <alignment readingOrder="0"/>
    </xf>
    <xf borderId="13" fillId="16" fontId="3" numFmtId="9" xfId="0" applyBorder="1" applyFont="1" applyNumberFormat="1"/>
    <xf borderId="6" fillId="17" fontId="3" numFmtId="0" xfId="0" applyBorder="1" applyFill="1" applyFont="1"/>
    <xf borderId="6" fillId="17" fontId="3" numFmtId="0" xfId="0" applyAlignment="1" applyBorder="1" applyFont="1">
      <alignment shrinkToFit="0" wrapText="1"/>
    </xf>
    <xf borderId="7" fillId="18" fontId="3" numFmtId="0" xfId="0" applyBorder="1" applyFill="1" applyFont="1"/>
    <xf borderId="10" fillId="18" fontId="3" numFmtId="9" xfId="0" applyBorder="1" applyFont="1" applyNumberFormat="1"/>
    <xf borderId="9" fillId="18" fontId="3" numFmtId="9" xfId="0" applyBorder="1" applyFont="1" applyNumberFormat="1"/>
    <xf borderId="0" fillId="0" fontId="4" numFmtId="0" xfId="0" applyAlignment="1" applyFont="1">
      <alignment readingOrder="0"/>
    </xf>
    <xf borderId="7" fillId="19" fontId="3" numFmtId="0" xfId="0" applyBorder="1" applyFill="1" applyFont="1"/>
    <xf borderId="7" fillId="19" fontId="3" numFmtId="9" xfId="0" applyBorder="1" applyFont="1" applyNumberFormat="1"/>
    <xf borderId="9" fillId="19" fontId="3" numFmtId="9" xfId="0" applyBorder="1" applyFont="1" applyNumberFormat="1"/>
    <xf borderId="0" fillId="0" fontId="4" numFmtId="0" xfId="0" applyFont="1"/>
    <xf borderId="7" fillId="18" fontId="3" numFmtId="9" xfId="0" applyBorder="1" applyFont="1" applyNumberFormat="1"/>
    <xf borderId="7" fillId="18" fontId="3" numFmtId="0" xfId="0" applyAlignment="1" applyBorder="1" applyFont="1">
      <alignment readingOrder="0"/>
    </xf>
    <xf borderId="7" fillId="18" fontId="3" numFmtId="9" xfId="0" applyAlignment="1" applyBorder="1" applyFont="1" applyNumberFormat="1">
      <alignment readingOrder="0"/>
    </xf>
    <xf borderId="7" fillId="19" fontId="3" numFmtId="0" xfId="0" applyAlignment="1" applyBorder="1" applyFont="1">
      <alignment readingOrder="0"/>
    </xf>
    <xf borderId="7" fillId="19" fontId="3" numFmtId="9" xfId="0" applyAlignment="1" applyBorder="1" applyFont="1" applyNumberFormat="1">
      <alignment readingOrder="0"/>
    </xf>
    <xf borderId="12" fillId="18" fontId="3" numFmtId="0" xfId="0" applyAlignment="1" applyBorder="1" applyFont="1">
      <alignment readingOrder="0"/>
    </xf>
    <xf borderId="12" fillId="18" fontId="3" numFmtId="9" xfId="0" applyBorder="1" applyFont="1" applyNumberFormat="1"/>
    <xf borderId="7" fillId="20" fontId="3" numFmtId="0" xfId="0" applyBorder="1" applyFill="1" applyFont="1"/>
    <xf borderId="10" fillId="20" fontId="3" numFmtId="0" xfId="0" applyBorder="1" applyFont="1"/>
    <xf borderId="10" fillId="20" fontId="3" numFmtId="0" xfId="0" applyAlignment="1" applyBorder="1" applyFont="1">
      <alignment shrinkToFit="0" wrapText="1"/>
    </xf>
    <xf borderId="7" fillId="10" fontId="3" numFmtId="0" xfId="0" applyAlignment="1" applyBorder="1" applyFont="1">
      <alignment readingOrder="0"/>
    </xf>
    <xf borderId="9" fillId="10" fontId="3" numFmtId="9" xfId="0" applyAlignment="1" applyBorder="1" applyFont="1" applyNumberFormat="1">
      <alignment readingOrder="0"/>
    </xf>
    <xf borderId="9" fillId="10" fontId="3" numFmtId="9" xfId="0" applyBorder="1" applyFont="1" applyNumberFormat="1"/>
    <xf borderId="7" fillId="21" fontId="3" numFmtId="0" xfId="0" applyAlignment="1" applyBorder="1" applyFill="1" applyFont="1">
      <alignment readingOrder="0"/>
    </xf>
    <xf borderId="9" fillId="21" fontId="3" numFmtId="9" xfId="0" applyAlignment="1" applyBorder="1" applyFont="1" applyNumberFormat="1">
      <alignment readingOrder="0"/>
    </xf>
    <xf borderId="9" fillId="21" fontId="3" numFmtId="9" xfId="0" applyBorder="1" applyFont="1" applyNumberFormat="1"/>
    <xf borderId="7" fillId="10" fontId="3" numFmtId="0" xfId="0" applyBorder="1" applyFont="1"/>
    <xf borderId="6" fillId="4" fontId="3" numFmtId="0" xfId="0" applyBorder="1" applyFont="1"/>
    <xf borderId="6" fillId="4" fontId="3" numFmtId="0" xfId="0" applyAlignment="1" applyBorder="1" applyFont="1">
      <alignment shrinkToFit="0" wrapText="1"/>
    </xf>
    <xf borderId="7" fillId="7" fontId="3" numFmtId="0" xfId="0" applyAlignment="1" applyBorder="1" applyFont="1">
      <alignment readingOrder="0"/>
    </xf>
    <xf borderId="7" fillId="7" fontId="3" numFmtId="9" xfId="0" applyAlignment="1" applyBorder="1" applyFont="1" applyNumberFormat="1">
      <alignment readingOrder="0"/>
    </xf>
    <xf borderId="7" fillId="7" fontId="3" numFmtId="9" xfId="0" applyBorder="1" applyFont="1" applyNumberFormat="1"/>
    <xf borderId="7" fillId="14" fontId="3" numFmtId="0" xfId="0" applyAlignment="1" applyBorder="1" applyFont="1">
      <alignment readingOrder="0"/>
    </xf>
    <xf borderId="9" fillId="14" fontId="3" numFmtId="9" xfId="0" applyAlignment="1" applyBorder="1" applyFont="1" applyNumberFormat="1">
      <alignment readingOrder="0"/>
    </xf>
    <xf borderId="9" fillId="14" fontId="3" numFmtId="9" xfId="0" applyBorder="1" applyFont="1" applyNumberFormat="1"/>
    <xf borderId="9" fillId="7" fontId="3" numFmtId="9" xfId="0" applyAlignment="1" applyBorder="1" applyFont="1" applyNumberFormat="1">
      <alignment readingOrder="0"/>
    </xf>
    <xf borderId="9" fillId="7" fontId="3" numFmtId="9" xfId="0" applyBorder="1" applyFont="1" applyNumberFormat="1"/>
    <xf borderId="7" fillId="14" fontId="3" numFmtId="9" xfId="0" applyAlignment="1" applyBorder="1" applyFont="1" applyNumberFormat="1">
      <alignment readingOrder="0"/>
    </xf>
    <xf borderId="7" fillId="14" fontId="3" numFmtId="9" xfId="0" applyBorder="1" applyFont="1" applyNumberFormat="1"/>
    <xf borderId="12" fillId="7" fontId="3" numFmtId="0" xfId="0" applyAlignment="1" applyBorder="1" applyFont="1">
      <alignment readingOrder="0"/>
    </xf>
    <xf borderId="13" fillId="7" fontId="3" numFmtId="9" xfId="0" applyBorder="1" applyFont="1" applyNumberFormat="1"/>
    <xf borderId="10" fillId="22" fontId="3" numFmtId="0" xfId="0" applyBorder="1" applyFill="1" applyFont="1"/>
    <xf borderId="11" fillId="22" fontId="3" numFmtId="0" xfId="0" applyBorder="1" applyFont="1"/>
    <xf borderId="11" fillId="22" fontId="3" numFmtId="0" xfId="0" applyAlignment="1" applyBorder="1" applyFont="1">
      <alignment shrinkToFit="0" wrapText="1"/>
    </xf>
    <xf borderId="7" fillId="23" fontId="3" numFmtId="0" xfId="0" applyAlignment="1" applyBorder="1" applyFill="1" applyFont="1">
      <alignment readingOrder="0"/>
    </xf>
    <xf borderId="9" fillId="23" fontId="3" numFmtId="9" xfId="0" applyAlignment="1" applyBorder="1" applyFont="1" applyNumberFormat="1">
      <alignment readingOrder="0"/>
    </xf>
    <xf borderId="9" fillId="23" fontId="3" numFmtId="9" xfId="0" applyBorder="1" applyFont="1" applyNumberFormat="1"/>
    <xf borderId="7" fillId="8" fontId="3" numFmtId="0" xfId="0" applyAlignment="1" applyBorder="1" applyFont="1">
      <alignment readingOrder="0"/>
    </xf>
    <xf borderId="9" fillId="8" fontId="3" numFmtId="9" xfId="0" applyAlignment="1" applyBorder="1" applyFont="1" applyNumberFormat="1">
      <alignment readingOrder="0"/>
    </xf>
    <xf borderId="9" fillId="8" fontId="3" numFmtId="9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6.25"/>
    <col customWidth="1" min="3" max="4" width="12.63"/>
    <col customWidth="1" min="5" max="5" width="11.25"/>
    <col customWidth="1" min="6" max="6" width="26.5"/>
  </cols>
  <sheetData>
    <row r="1" ht="15.75" customHeight="1">
      <c r="A1" s="1" t="s">
        <v>0</v>
      </c>
      <c r="B1" s="2"/>
      <c r="C1" s="2"/>
      <c r="D1" s="2"/>
      <c r="E1" s="2"/>
      <c r="F1" s="3"/>
      <c r="G1" s="4" t="s">
        <v>1</v>
      </c>
      <c r="H1" s="5"/>
    </row>
    <row r="2" ht="15.75" customHeight="1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  <c r="F2" s="9" t="s">
        <v>7</v>
      </c>
      <c r="G2" s="4" t="s">
        <v>8</v>
      </c>
      <c r="H2" s="10" t="s">
        <v>9</v>
      </c>
    </row>
    <row r="3" ht="15.75" customHeight="1">
      <c r="A3" s="11">
        <v>1.0</v>
      </c>
      <c r="B3" s="12" t="s">
        <v>10</v>
      </c>
      <c r="C3" s="12" t="s">
        <v>11</v>
      </c>
      <c r="D3" s="13">
        <v>1.0</v>
      </c>
      <c r="E3" s="14" t="s">
        <v>12</v>
      </c>
      <c r="F3" s="15" t="s">
        <v>13</v>
      </c>
      <c r="G3" s="16">
        <v>45795.0</v>
      </c>
      <c r="H3" s="17">
        <v>45795.0</v>
      </c>
    </row>
    <row r="4" ht="15.75" customHeight="1">
      <c r="A4" s="18">
        <v>1.0</v>
      </c>
      <c r="B4" s="19" t="s">
        <v>14</v>
      </c>
      <c r="C4" s="12" t="s">
        <v>11</v>
      </c>
      <c r="D4" s="20">
        <v>1.0</v>
      </c>
      <c r="E4" s="21" t="s">
        <v>12</v>
      </c>
      <c r="F4" s="22" t="s">
        <v>15</v>
      </c>
      <c r="G4" s="23">
        <v>45795.0</v>
      </c>
      <c r="H4" s="17">
        <v>45795.0</v>
      </c>
    </row>
    <row r="5" ht="15.75" customHeight="1">
      <c r="A5" s="18">
        <v>1.0</v>
      </c>
      <c r="B5" s="19" t="s">
        <v>16</v>
      </c>
      <c r="C5" s="12" t="s">
        <v>11</v>
      </c>
      <c r="D5" s="20">
        <v>2.0</v>
      </c>
      <c r="E5" s="21" t="s">
        <v>12</v>
      </c>
      <c r="F5" s="22" t="s">
        <v>17</v>
      </c>
      <c r="G5" s="24">
        <v>45796.0</v>
      </c>
      <c r="H5" s="17">
        <v>45796.0</v>
      </c>
    </row>
    <row r="6" ht="15.75" customHeight="1">
      <c r="A6" s="18">
        <v>1.0</v>
      </c>
      <c r="B6" s="19" t="s">
        <v>18</v>
      </c>
      <c r="C6" s="12" t="s">
        <v>11</v>
      </c>
      <c r="D6" s="20">
        <v>1.0</v>
      </c>
      <c r="E6" s="21" t="s">
        <v>12</v>
      </c>
      <c r="F6" s="22" t="s">
        <v>19</v>
      </c>
      <c r="G6" s="25">
        <v>45796.0</v>
      </c>
      <c r="H6" s="17">
        <v>45796.0</v>
      </c>
    </row>
    <row r="7" ht="15.75" customHeight="1">
      <c r="A7" s="26">
        <v>1.0</v>
      </c>
      <c r="B7" s="19" t="s">
        <v>20</v>
      </c>
      <c r="C7" s="12" t="s">
        <v>11</v>
      </c>
      <c r="D7" s="20">
        <v>1.0</v>
      </c>
      <c r="E7" s="21" t="s">
        <v>12</v>
      </c>
      <c r="F7" s="22" t="s">
        <v>21</v>
      </c>
      <c r="G7" s="25">
        <v>45796.0</v>
      </c>
      <c r="H7" s="17">
        <v>45796.0</v>
      </c>
    </row>
    <row r="8" ht="15.75" customHeight="1">
      <c r="A8" s="18">
        <v>1.0</v>
      </c>
      <c r="B8" s="19" t="s">
        <v>22</v>
      </c>
      <c r="C8" s="12" t="s">
        <v>11</v>
      </c>
      <c r="D8" s="20">
        <v>1.0</v>
      </c>
      <c r="E8" s="21" t="s">
        <v>12</v>
      </c>
      <c r="F8" s="22" t="s">
        <v>23</v>
      </c>
      <c r="G8" s="25">
        <v>45796.0</v>
      </c>
      <c r="H8" s="17">
        <v>45796.0</v>
      </c>
    </row>
    <row r="9" ht="15.75" customHeight="1">
      <c r="A9" s="1" t="s">
        <v>0</v>
      </c>
      <c r="B9" s="2"/>
      <c r="C9" s="2"/>
      <c r="D9" s="2"/>
      <c r="E9" s="2"/>
      <c r="F9" s="3"/>
      <c r="G9" s="4" t="s">
        <v>1</v>
      </c>
      <c r="H9" s="5"/>
    </row>
    <row r="10" ht="15.75" customHeight="1">
      <c r="A10" s="6" t="s">
        <v>2</v>
      </c>
      <c r="B10" s="7" t="s">
        <v>3</v>
      </c>
      <c r="C10" s="7" t="s">
        <v>4</v>
      </c>
      <c r="D10" s="7" t="s">
        <v>5</v>
      </c>
      <c r="E10" s="8" t="s">
        <v>6</v>
      </c>
      <c r="F10" s="9" t="s">
        <v>7</v>
      </c>
      <c r="G10" s="4" t="s">
        <v>8</v>
      </c>
      <c r="H10" s="10" t="s">
        <v>9</v>
      </c>
    </row>
    <row r="11" ht="15.75" customHeight="1">
      <c r="A11" s="27">
        <v>2.0</v>
      </c>
      <c r="B11" s="28" t="s">
        <v>24</v>
      </c>
      <c r="C11" s="29" t="s">
        <v>11</v>
      </c>
      <c r="D11" s="29">
        <v>1.0</v>
      </c>
      <c r="E11" s="30" t="s">
        <v>12</v>
      </c>
      <c r="F11" s="31" t="s">
        <v>25</v>
      </c>
      <c r="G11" s="32">
        <v>45797.0</v>
      </c>
      <c r="H11" s="33">
        <v>45797.0</v>
      </c>
    </row>
    <row r="12" ht="15.75" customHeight="1">
      <c r="A12" s="27">
        <v>2.0</v>
      </c>
      <c r="B12" s="28" t="s">
        <v>20</v>
      </c>
      <c r="C12" s="29" t="s">
        <v>11</v>
      </c>
      <c r="D12" s="29">
        <v>1.0</v>
      </c>
      <c r="E12" s="30" t="s">
        <v>12</v>
      </c>
      <c r="F12" s="31" t="s">
        <v>26</v>
      </c>
      <c r="G12" s="32">
        <v>45797.0</v>
      </c>
      <c r="H12" s="33">
        <v>45797.0</v>
      </c>
    </row>
    <row r="13" ht="15.75" customHeight="1">
      <c r="A13" s="27">
        <v>2.0</v>
      </c>
      <c r="B13" s="28" t="s">
        <v>27</v>
      </c>
      <c r="C13" s="29" t="s">
        <v>11</v>
      </c>
      <c r="D13" s="29">
        <v>2.0</v>
      </c>
      <c r="E13" s="30" t="s">
        <v>12</v>
      </c>
      <c r="F13" s="31" t="s">
        <v>28</v>
      </c>
      <c r="G13" s="32">
        <v>45797.0</v>
      </c>
      <c r="H13" s="33">
        <v>45797.0</v>
      </c>
    </row>
    <row r="14" ht="15.75" customHeight="1">
      <c r="A14" s="27">
        <v>2.0</v>
      </c>
      <c r="B14" s="28" t="s">
        <v>29</v>
      </c>
      <c r="C14" s="29" t="s">
        <v>11</v>
      </c>
      <c r="D14" s="29">
        <v>1.0</v>
      </c>
      <c r="E14" s="30" t="s">
        <v>12</v>
      </c>
      <c r="F14" s="31" t="s">
        <v>30</v>
      </c>
      <c r="G14" s="32">
        <v>45798.0</v>
      </c>
      <c r="H14" s="33">
        <v>45798.0</v>
      </c>
    </row>
    <row r="15" ht="15.75" customHeight="1">
      <c r="A15" s="27">
        <v>2.0</v>
      </c>
      <c r="B15" s="28" t="s">
        <v>31</v>
      </c>
      <c r="C15" s="29" t="s">
        <v>11</v>
      </c>
      <c r="D15" s="29">
        <v>2.0</v>
      </c>
      <c r="E15" s="30" t="s">
        <v>12</v>
      </c>
      <c r="F15" s="31" t="s">
        <v>32</v>
      </c>
      <c r="G15" s="32">
        <v>45798.0</v>
      </c>
      <c r="H15" s="33">
        <v>45798.0</v>
      </c>
    </row>
    <row r="16" ht="15.75" customHeight="1">
      <c r="A16" s="27">
        <v>2.0</v>
      </c>
      <c r="B16" s="28" t="s">
        <v>33</v>
      </c>
      <c r="C16" s="29" t="s">
        <v>11</v>
      </c>
      <c r="D16" s="29">
        <v>2.0</v>
      </c>
      <c r="E16" s="30" t="s">
        <v>12</v>
      </c>
      <c r="F16" s="31" t="s">
        <v>34</v>
      </c>
      <c r="G16" s="32">
        <v>45798.0</v>
      </c>
      <c r="H16" s="33">
        <v>45798.0</v>
      </c>
    </row>
    <row r="17" ht="15.75" customHeight="1">
      <c r="A17" s="1" t="s">
        <v>0</v>
      </c>
      <c r="B17" s="2"/>
      <c r="C17" s="2"/>
      <c r="D17" s="2"/>
      <c r="E17" s="2"/>
      <c r="F17" s="3"/>
      <c r="G17" s="4" t="s">
        <v>1</v>
      </c>
      <c r="H17" s="5"/>
    </row>
    <row r="18" ht="15.75" customHeight="1">
      <c r="A18" s="6" t="s">
        <v>2</v>
      </c>
      <c r="B18" s="7" t="s">
        <v>3</v>
      </c>
      <c r="C18" s="7" t="s">
        <v>4</v>
      </c>
      <c r="D18" s="7" t="s">
        <v>5</v>
      </c>
      <c r="E18" s="8" t="s">
        <v>6</v>
      </c>
      <c r="F18" s="9" t="s">
        <v>7</v>
      </c>
      <c r="G18" s="4" t="s">
        <v>8</v>
      </c>
      <c r="H18" s="10" t="s">
        <v>9</v>
      </c>
    </row>
    <row r="19" ht="15.75" customHeight="1">
      <c r="A19" s="34">
        <v>3.0</v>
      </c>
      <c r="B19" s="35" t="s">
        <v>35</v>
      </c>
      <c r="C19" s="36" t="s">
        <v>11</v>
      </c>
      <c r="D19" s="36">
        <v>2.0</v>
      </c>
      <c r="E19" s="37" t="s">
        <v>12</v>
      </c>
      <c r="F19" s="38" t="s">
        <v>36</v>
      </c>
      <c r="G19" s="39">
        <v>45799.0</v>
      </c>
      <c r="H19" s="40">
        <v>45799.0</v>
      </c>
    </row>
    <row r="20" ht="15.75" customHeight="1">
      <c r="A20" s="34">
        <v>3.0</v>
      </c>
      <c r="B20" s="35" t="s">
        <v>37</v>
      </c>
      <c r="C20" s="36" t="s">
        <v>11</v>
      </c>
      <c r="D20" s="36">
        <v>1.0</v>
      </c>
      <c r="E20" s="37" t="s">
        <v>12</v>
      </c>
      <c r="F20" s="38" t="s">
        <v>38</v>
      </c>
      <c r="G20" s="39">
        <v>45799.0</v>
      </c>
      <c r="H20" s="40">
        <v>45799.0</v>
      </c>
    </row>
    <row r="21" ht="15.75" customHeight="1">
      <c r="A21" s="34">
        <v>3.0</v>
      </c>
      <c r="B21" s="35" t="s">
        <v>39</v>
      </c>
      <c r="C21" s="36" t="s">
        <v>11</v>
      </c>
      <c r="D21" s="36">
        <v>2.0</v>
      </c>
      <c r="E21" s="37" t="s">
        <v>12</v>
      </c>
      <c r="F21" s="38" t="s">
        <v>40</v>
      </c>
      <c r="G21" s="39">
        <v>45800.0</v>
      </c>
      <c r="H21" s="40">
        <v>45800.0</v>
      </c>
    </row>
    <row r="22" ht="15.75" customHeight="1">
      <c r="A22" s="34">
        <v>3.0</v>
      </c>
      <c r="B22" s="35" t="s">
        <v>41</v>
      </c>
      <c r="C22" s="36" t="s">
        <v>11</v>
      </c>
      <c r="D22" s="36">
        <v>2.0</v>
      </c>
      <c r="E22" s="37" t="s">
        <v>12</v>
      </c>
      <c r="F22" s="38" t="s">
        <v>42</v>
      </c>
      <c r="G22" s="39">
        <v>45800.0</v>
      </c>
      <c r="H22" s="40">
        <v>45800.0</v>
      </c>
    </row>
    <row r="23" ht="15.75" customHeight="1">
      <c r="A23" s="34">
        <v>3.0</v>
      </c>
      <c r="B23" s="35" t="s">
        <v>43</v>
      </c>
      <c r="C23" s="36" t="s">
        <v>11</v>
      </c>
      <c r="D23" s="36">
        <v>2.0</v>
      </c>
      <c r="E23" s="37" t="s">
        <v>12</v>
      </c>
      <c r="F23" s="38" t="s">
        <v>44</v>
      </c>
      <c r="G23" s="39">
        <v>45800.0</v>
      </c>
      <c r="H23" s="40">
        <v>45800.0</v>
      </c>
    </row>
    <row r="24" ht="15.75" customHeight="1">
      <c r="A24" s="1" t="s">
        <v>0</v>
      </c>
      <c r="B24" s="2"/>
      <c r="C24" s="2"/>
      <c r="D24" s="2"/>
      <c r="E24" s="2"/>
      <c r="F24" s="3"/>
      <c r="G24" s="4" t="s">
        <v>1</v>
      </c>
      <c r="H24" s="5"/>
    </row>
    <row r="25" ht="15.75" customHeight="1">
      <c r="A25" s="6" t="s">
        <v>2</v>
      </c>
      <c r="B25" s="7" t="s">
        <v>3</v>
      </c>
      <c r="C25" s="7" t="s">
        <v>4</v>
      </c>
      <c r="D25" s="7" t="s">
        <v>5</v>
      </c>
      <c r="E25" s="8" t="s">
        <v>6</v>
      </c>
      <c r="F25" s="9" t="s">
        <v>7</v>
      </c>
      <c r="G25" s="4" t="s">
        <v>8</v>
      </c>
      <c r="H25" s="10" t="s">
        <v>9</v>
      </c>
    </row>
    <row r="26" ht="15.75" customHeight="1">
      <c r="A26" s="41">
        <v>4.0</v>
      </c>
      <c r="B26" s="42" t="s">
        <v>45</v>
      </c>
      <c r="C26" s="43" t="s">
        <v>11</v>
      </c>
      <c r="D26" s="43">
        <v>1.0</v>
      </c>
      <c r="E26" s="44" t="s">
        <v>12</v>
      </c>
      <c r="F26" s="45" t="s">
        <v>46</v>
      </c>
      <c r="G26" s="46">
        <v>45801.0</v>
      </c>
      <c r="H26" s="47">
        <v>45801.0</v>
      </c>
    </row>
    <row r="27" ht="15.75" customHeight="1">
      <c r="A27" s="41">
        <v>4.0</v>
      </c>
      <c r="B27" s="42" t="s">
        <v>47</v>
      </c>
      <c r="C27" s="43" t="s">
        <v>11</v>
      </c>
      <c r="D27" s="43">
        <v>2.0</v>
      </c>
      <c r="E27" s="44" t="s">
        <v>12</v>
      </c>
      <c r="F27" s="45" t="s">
        <v>48</v>
      </c>
      <c r="G27" s="46">
        <v>45801.0</v>
      </c>
      <c r="H27" s="47">
        <v>45801.0</v>
      </c>
    </row>
    <row r="28" ht="15.75" customHeight="1">
      <c r="A28" s="41">
        <v>4.0</v>
      </c>
      <c r="B28" s="42" t="s">
        <v>49</v>
      </c>
      <c r="C28" s="43" t="s">
        <v>11</v>
      </c>
      <c r="D28" s="43">
        <v>2.0</v>
      </c>
      <c r="E28" s="44" t="s">
        <v>12</v>
      </c>
      <c r="F28" s="45" t="s">
        <v>50</v>
      </c>
      <c r="G28" s="46">
        <v>45801.0</v>
      </c>
      <c r="H28" s="47">
        <v>45801.0</v>
      </c>
    </row>
    <row r="29" ht="15.75" customHeight="1">
      <c r="A29" s="41">
        <v>4.0</v>
      </c>
      <c r="B29" s="42" t="s">
        <v>51</v>
      </c>
      <c r="C29" s="43" t="s">
        <v>11</v>
      </c>
      <c r="D29" s="43">
        <v>2.0</v>
      </c>
      <c r="E29" s="44" t="s">
        <v>12</v>
      </c>
      <c r="F29" s="45" t="s">
        <v>52</v>
      </c>
      <c r="G29" s="46">
        <v>45801.0</v>
      </c>
      <c r="H29" s="47">
        <v>45801.0</v>
      </c>
    </row>
    <row r="30" ht="15.75" customHeight="1">
      <c r="A30" s="41">
        <v>4.0</v>
      </c>
      <c r="B30" s="42" t="s">
        <v>53</v>
      </c>
      <c r="C30" s="43" t="s">
        <v>11</v>
      </c>
      <c r="D30" s="43">
        <v>2.0</v>
      </c>
      <c r="E30" s="44" t="s">
        <v>12</v>
      </c>
      <c r="F30" s="45" t="s">
        <v>54</v>
      </c>
      <c r="G30" s="46">
        <v>45802.0</v>
      </c>
      <c r="H30" s="47">
        <v>45802.0</v>
      </c>
    </row>
    <row r="31" ht="15.75" customHeight="1">
      <c r="A31" s="41">
        <v>4.0</v>
      </c>
      <c r="B31" s="42" t="s">
        <v>55</v>
      </c>
      <c r="C31" s="43" t="s">
        <v>11</v>
      </c>
      <c r="D31" s="43">
        <v>2.0</v>
      </c>
      <c r="E31" s="44" t="s">
        <v>12</v>
      </c>
      <c r="F31" s="45" t="s">
        <v>56</v>
      </c>
      <c r="G31" s="46">
        <v>45802.0</v>
      </c>
      <c r="H31" s="47">
        <v>45802.0</v>
      </c>
    </row>
    <row r="32" ht="15.75" customHeight="1">
      <c r="A32" s="41">
        <v>4.0</v>
      </c>
      <c r="B32" s="42" t="s">
        <v>20</v>
      </c>
      <c r="C32" s="43" t="s">
        <v>11</v>
      </c>
      <c r="D32" s="43">
        <v>2.0</v>
      </c>
      <c r="E32" s="44" t="s">
        <v>12</v>
      </c>
      <c r="F32" s="45" t="s">
        <v>57</v>
      </c>
      <c r="G32" s="46">
        <v>45802.0</v>
      </c>
      <c r="H32" s="47">
        <v>45802.0</v>
      </c>
    </row>
    <row r="33" ht="15.75" customHeight="1">
      <c r="A33" s="41">
        <v>4.0</v>
      </c>
      <c r="B33" s="42" t="s">
        <v>58</v>
      </c>
      <c r="C33" s="43" t="s">
        <v>11</v>
      </c>
      <c r="D33" s="43">
        <v>2.0</v>
      </c>
      <c r="E33" s="44" t="s">
        <v>12</v>
      </c>
      <c r="F33" s="45" t="s">
        <v>59</v>
      </c>
      <c r="G33" s="46">
        <v>45802.0</v>
      </c>
      <c r="H33" s="47">
        <v>45802.0</v>
      </c>
    </row>
    <row r="34" ht="15.75" customHeight="1">
      <c r="A34" s="1" t="s">
        <v>0</v>
      </c>
      <c r="B34" s="2"/>
      <c r="C34" s="2"/>
      <c r="D34" s="2"/>
      <c r="E34" s="2"/>
      <c r="F34" s="3"/>
      <c r="G34" s="4" t="s">
        <v>1</v>
      </c>
      <c r="H34" s="5"/>
    </row>
    <row r="35" ht="15.75" customHeight="1">
      <c r="A35" s="6" t="s">
        <v>2</v>
      </c>
      <c r="B35" s="7" t="s">
        <v>3</v>
      </c>
      <c r="C35" s="7" t="s">
        <v>4</v>
      </c>
      <c r="D35" s="7" t="s">
        <v>5</v>
      </c>
      <c r="E35" s="8" t="s">
        <v>6</v>
      </c>
      <c r="F35" s="9" t="s">
        <v>7</v>
      </c>
      <c r="G35" s="4" t="s">
        <v>8</v>
      </c>
      <c r="H35" s="10" t="s">
        <v>9</v>
      </c>
    </row>
    <row r="36" ht="15.75" customHeight="1">
      <c r="A36" s="48">
        <v>5.0</v>
      </c>
      <c r="B36" s="49" t="s">
        <v>60</v>
      </c>
      <c r="C36" s="49" t="s">
        <v>11</v>
      </c>
      <c r="D36" s="50">
        <v>1.0</v>
      </c>
      <c r="E36" s="49" t="s">
        <v>12</v>
      </c>
      <c r="F36" s="51" t="s">
        <v>61</v>
      </c>
      <c r="G36" s="52">
        <v>45803.0</v>
      </c>
      <c r="H36" s="53">
        <v>45801.0</v>
      </c>
    </row>
    <row r="37" ht="15.75" customHeight="1">
      <c r="A37" s="48">
        <v>5.0</v>
      </c>
      <c r="B37" s="49" t="s">
        <v>62</v>
      </c>
      <c r="C37" s="49" t="s">
        <v>11</v>
      </c>
      <c r="D37" s="50">
        <v>2.0</v>
      </c>
      <c r="E37" s="49" t="s">
        <v>12</v>
      </c>
      <c r="F37" s="51" t="s">
        <v>63</v>
      </c>
      <c r="G37" s="52">
        <v>45803.0</v>
      </c>
      <c r="H37" s="54">
        <v>45803.0</v>
      </c>
    </row>
    <row r="38" ht="15.75" customHeight="1">
      <c r="A38" s="48">
        <v>5.0</v>
      </c>
      <c r="B38" s="49" t="s">
        <v>64</v>
      </c>
      <c r="C38" s="49" t="s">
        <v>11</v>
      </c>
      <c r="D38" s="50">
        <v>1.0</v>
      </c>
      <c r="E38" s="49" t="s">
        <v>12</v>
      </c>
      <c r="F38" s="51" t="s">
        <v>65</v>
      </c>
      <c r="G38" s="52">
        <v>45803.0</v>
      </c>
      <c r="H38" s="54">
        <v>45803.0</v>
      </c>
    </row>
    <row r="39" ht="15.75" customHeight="1">
      <c r="A39" s="48">
        <v>5.0</v>
      </c>
      <c r="B39" s="49" t="s">
        <v>66</v>
      </c>
      <c r="C39" s="49" t="s">
        <v>11</v>
      </c>
      <c r="D39" s="48">
        <v>1.0</v>
      </c>
      <c r="E39" s="49" t="s">
        <v>12</v>
      </c>
      <c r="F39" s="51" t="s">
        <v>67</v>
      </c>
      <c r="G39" s="52">
        <v>45803.0</v>
      </c>
      <c r="H39" s="54">
        <v>45803.0</v>
      </c>
    </row>
    <row r="40" ht="15.75" customHeight="1">
      <c r="A40" s="1" t="s">
        <v>0</v>
      </c>
      <c r="B40" s="2"/>
      <c r="C40" s="2"/>
      <c r="D40" s="2"/>
      <c r="E40" s="2"/>
      <c r="F40" s="3"/>
      <c r="G40" s="4" t="s">
        <v>1</v>
      </c>
      <c r="H40" s="5"/>
    </row>
    <row r="41" ht="15.75" customHeight="1">
      <c r="A41" s="6" t="s">
        <v>2</v>
      </c>
      <c r="B41" s="7" t="s">
        <v>3</v>
      </c>
      <c r="C41" s="7" t="s">
        <v>4</v>
      </c>
      <c r="D41" s="7" t="s">
        <v>5</v>
      </c>
      <c r="E41" s="8" t="s">
        <v>6</v>
      </c>
      <c r="F41" s="9" t="s">
        <v>7</v>
      </c>
      <c r="G41" s="4" t="s">
        <v>8</v>
      </c>
      <c r="H41" s="10" t="s">
        <v>9</v>
      </c>
    </row>
    <row r="42" ht="15.75" customHeight="1">
      <c r="A42" s="55">
        <v>11.0</v>
      </c>
      <c r="B42" s="56" t="s">
        <v>68</v>
      </c>
      <c r="C42" s="57" t="s">
        <v>11</v>
      </c>
      <c r="D42" s="57">
        <v>1.0</v>
      </c>
      <c r="E42" s="58" t="s">
        <v>12</v>
      </c>
      <c r="F42" s="59" t="s">
        <v>69</v>
      </c>
      <c r="G42" s="60">
        <v>45804.0</v>
      </c>
      <c r="H42" s="61">
        <v>45804.0</v>
      </c>
    </row>
    <row r="43" ht="15.75" customHeight="1">
      <c r="A43" s="55">
        <v>11.0</v>
      </c>
      <c r="B43" s="56" t="s">
        <v>70</v>
      </c>
      <c r="C43" s="57" t="s">
        <v>11</v>
      </c>
      <c r="D43" s="57">
        <v>2.0</v>
      </c>
      <c r="E43" s="58" t="s">
        <v>12</v>
      </c>
      <c r="F43" s="59" t="s">
        <v>71</v>
      </c>
      <c r="G43" s="60">
        <v>45804.0</v>
      </c>
      <c r="H43" s="61">
        <v>45804.0</v>
      </c>
    </row>
    <row r="44" ht="15.75" customHeight="1">
      <c r="A44" s="55">
        <v>11.0</v>
      </c>
      <c r="B44" s="56" t="s">
        <v>47</v>
      </c>
      <c r="C44" s="57" t="s">
        <v>11</v>
      </c>
      <c r="D44" s="57">
        <v>2.0</v>
      </c>
      <c r="E44" s="58" t="s">
        <v>12</v>
      </c>
      <c r="F44" s="59" t="s">
        <v>72</v>
      </c>
      <c r="G44" s="60">
        <v>45804.0</v>
      </c>
      <c r="H44" s="61">
        <v>45804.0</v>
      </c>
    </row>
    <row r="45" ht="15.75" customHeight="1">
      <c r="A45" s="55">
        <v>11.0</v>
      </c>
      <c r="B45" s="56" t="s">
        <v>73</v>
      </c>
      <c r="C45" s="57" t="s">
        <v>11</v>
      </c>
      <c r="D45" s="57">
        <v>2.0</v>
      </c>
      <c r="E45" s="58" t="s">
        <v>12</v>
      </c>
      <c r="F45" s="59" t="s">
        <v>74</v>
      </c>
      <c r="G45" s="60">
        <v>45805.0</v>
      </c>
      <c r="H45" s="61">
        <v>45805.0</v>
      </c>
    </row>
    <row r="46" ht="15.75" customHeight="1">
      <c r="A46" s="55">
        <v>11.0</v>
      </c>
      <c r="B46" s="56" t="s">
        <v>75</v>
      </c>
      <c r="C46" s="57" t="s">
        <v>11</v>
      </c>
      <c r="D46" s="57">
        <v>2.0</v>
      </c>
      <c r="E46" s="58" t="s">
        <v>12</v>
      </c>
      <c r="F46" s="59" t="s">
        <v>76</v>
      </c>
      <c r="G46" s="60">
        <v>45806.0</v>
      </c>
      <c r="H46" s="61">
        <v>45806.0</v>
      </c>
    </row>
    <row r="47" ht="15.75" customHeight="1">
      <c r="A47" s="55">
        <v>11.0</v>
      </c>
      <c r="B47" s="56" t="s">
        <v>77</v>
      </c>
      <c r="C47" s="57" t="s">
        <v>11</v>
      </c>
      <c r="D47" s="57">
        <v>2.0</v>
      </c>
      <c r="E47" s="58" t="s">
        <v>12</v>
      </c>
      <c r="F47" s="59" t="s">
        <v>78</v>
      </c>
      <c r="G47" s="60">
        <v>45807.0</v>
      </c>
      <c r="H47" s="61">
        <v>45807.0</v>
      </c>
    </row>
    <row r="48" ht="15.75" customHeight="1">
      <c r="A48" s="55">
        <v>11.0</v>
      </c>
      <c r="B48" s="56" t="s">
        <v>79</v>
      </c>
      <c r="C48" s="57" t="s">
        <v>11</v>
      </c>
      <c r="D48" s="57">
        <v>2.0</v>
      </c>
      <c r="E48" s="58" t="s">
        <v>12</v>
      </c>
      <c r="F48" s="59" t="s">
        <v>80</v>
      </c>
      <c r="G48" s="60">
        <v>45807.0</v>
      </c>
      <c r="H48" s="61">
        <v>45807.0</v>
      </c>
    </row>
    <row r="49" ht="15.75" customHeight="1">
      <c r="A49" s="1" t="s">
        <v>0</v>
      </c>
      <c r="B49" s="2"/>
      <c r="C49" s="2"/>
      <c r="D49" s="2"/>
      <c r="E49" s="2"/>
      <c r="F49" s="3"/>
      <c r="G49" s="4" t="s">
        <v>1</v>
      </c>
      <c r="H49" s="5"/>
    </row>
    <row r="50" ht="15.75" customHeight="1">
      <c r="A50" s="6" t="s">
        <v>2</v>
      </c>
      <c r="B50" s="7" t="s">
        <v>3</v>
      </c>
      <c r="C50" s="7" t="s">
        <v>4</v>
      </c>
      <c r="D50" s="7" t="s">
        <v>5</v>
      </c>
      <c r="E50" s="8" t="s">
        <v>6</v>
      </c>
      <c r="F50" s="9" t="s">
        <v>7</v>
      </c>
      <c r="G50" s="4" t="s">
        <v>8</v>
      </c>
      <c r="H50" s="10" t="s">
        <v>9</v>
      </c>
    </row>
    <row r="51" ht="15.75" customHeight="1">
      <c r="A51" s="62">
        <v>12.0</v>
      </c>
      <c r="B51" s="63" t="s">
        <v>81</v>
      </c>
      <c r="C51" s="64" t="s">
        <v>11</v>
      </c>
      <c r="D51" s="64">
        <v>1.0</v>
      </c>
      <c r="E51" s="65" t="s">
        <v>12</v>
      </c>
      <c r="F51" s="66" t="s">
        <v>82</v>
      </c>
      <c r="G51" s="67">
        <v>45808.0</v>
      </c>
      <c r="H51" s="68">
        <v>45808.0</v>
      </c>
    </row>
    <row r="52" ht="15.75" customHeight="1">
      <c r="A52" s="62">
        <v>12.0</v>
      </c>
      <c r="B52" s="63" t="s">
        <v>73</v>
      </c>
      <c r="C52" s="64" t="s">
        <v>11</v>
      </c>
      <c r="D52" s="64">
        <v>2.0</v>
      </c>
      <c r="E52" s="65" t="s">
        <v>12</v>
      </c>
      <c r="F52" s="66" t="s">
        <v>83</v>
      </c>
      <c r="G52" s="67">
        <v>45808.0</v>
      </c>
      <c r="H52" s="69">
        <v>45808.0</v>
      </c>
    </row>
    <row r="53" ht="15.75" customHeight="1">
      <c r="A53" s="62">
        <v>12.0</v>
      </c>
      <c r="B53" s="63" t="s">
        <v>84</v>
      </c>
      <c r="C53" s="64" t="s">
        <v>11</v>
      </c>
      <c r="D53" s="64">
        <v>2.0</v>
      </c>
      <c r="E53" s="65" t="s">
        <v>12</v>
      </c>
      <c r="F53" s="66" t="s">
        <v>85</v>
      </c>
      <c r="G53" s="67">
        <v>45809.0</v>
      </c>
      <c r="H53" s="68">
        <v>45809.0</v>
      </c>
    </row>
    <row r="54" ht="15.75" customHeight="1">
      <c r="A54" s="62">
        <v>12.0</v>
      </c>
      <c r="B54" s="63" t="s">
        <v>86</v>
      </c>
      <c r="C54" s="64" t="s">
        <v>11</v>
      </c>
      <c r="D54" s="64">
        <v>2.0</v>
      </c>
      <c r="E54" s="65" t="s">
        <v>12</v>
      </c>
      <c r="F54" s="66" t="s">
        <v>87</v>
      </c>
      <c r="G54" s="67">
        <v>45809.0</v>
      </c>
      <c r="H54" s="68">
        <v>45809.0</v>
      </c>
    </row>
    <row r="55" ht="15.75" customHeight="1">
      <c r="A55" s="62">
        <v>12.0</v>
      </c>
      <c r="B55" s="63" t="s">
        <v>88</v>
      </c>
      <c r="C55" s="64" t="s">
        <v>11</v>
      </c>
      <c r="D55" s="64">
        <v>2.0</v>
      </c>
      <c r="E55" s="65" t="s">
        <v>12</v>
      </c>
      <c r="F55" s="66" t="s">
        <v>89</v>
      </c>
      <c r="G55" s="67">
        <v>45809.0</v>
      </c>
      <c r="H55" s="68">
        <v>45809.0</v>
      </c>
    </row>
    <row r="56" ht="15.75" customHeight="1">
      <c r="A56" s="62">
        <v>12.0</v>
      </c>
      <c r="B56" s="63" t="s">
        <v>90</v>
      </c>
      <c r="C56" s="64" t="s">
        <v>11</v>
      </c>
      <c r="D56" s="64">
        <v>2.0</v>
      </c>
      <c r="E56" s="65" t="s">
        <v>12</v>
      </c>
      <c r="F56" s="66" t="s">
        <v>91</v>
      </c>
      <c r="G56" s="67">
        <v>45810.0</v>
      </c>
      <c r="H56" s="68">
        <v>45810.0</v>
      </c>
    </row>
    <row r="57" ht="15.75" customHeight="1">
      <c r="A57" s="62">
        <v>12.0</v>
      </c>
      <c r="B57" s="63" t="s">
        <v>92</v>
      </c>
      <c r="C57" s="64" t="s">
        <v>11</v>
      </c>
      <c r="D57" s="64">
        <v>2.0</v>
      </c>
      <c r="E57" s="65" t="s">
        <v>12</v>
      </c>
      <c r="F57" s="66" t="s">
        <v>93</v>
      </c>
      <c r="G57" s="67">
        <v>45810.0</v>
      </c>
      <c r="H57" s="68">
        <v>45810.0</v>
      </c>
    </row>
    <row r="58" ht="15.75" customHeight="1">
      <c r="A58" s="62">
        <v>12.0</v>
      </c>
      <c r="B58" s="63" t="s">
        <v>94</v>
      </c>
      <c r="C58" s="64" t="s">
        <v>11</v>
      </c>
      <c r="D58" s="64">
        <v>2.0</v>
      </c>
      <c r="E58" s="65" t="s">
        <v>12</v>
      </c>
      <c r="F58" s="66" t="s">
        <v>95</v>
      </c>
      <c r="G58" s="67">
        <v>45810.0</v>
      </c>
      <c r="H58" s="68">
        <v>45810.0</v>
      </c>
    </row>
    <row r="59" ht="15.75" customHeight="1">
      <c r="A59" s="62">
        <v>12.0</v>
      </c>
      <c r="B59" s="63" t="s">
        <v>96</v>
      </c>
      <c r="C59" s="64" t="s">
        <v>11</v>
      </c>
      <c r="D59" s="64">
        <v>2.0</v>
      </c>
      <c r="E59" s="65" t="s">
        <v>12</v>
      </c>
      <c r="F59" s="66" t="s">
        <v>97</v>
      </c>
      <c r="G59" s="67">
        <v>45811.0</v>
      </c>
      <c r="H59" s="68">
        <v>45812.0</v>
      </c>
    </row>
    <row r="60" ht="15.75" customHeight="1">
      <c r="A60" s="1" t="s">
        <v>0</v>
      </c>
      <c r="B60" s="2"/>
      <c r="C60" s="2"/>
      <c r="D60" s="2"/>
      <c r="E60" s="2"/>
      <c r="F60" s="3"/>
      <c r="G60" s="4" t="s">
        <v>1</v>
      </c>
      <c r="H60" s="5"/>
    </row>
    <row r="61" ht="15.75" customHeight="1">
      <c r="A61" s="6" t="s">
        <v>2</v>
      </c>
      <c r="B61" s="7" t="s">
        <v>3</v>
      </c>
      <c r="C61" s="7" t="s">
        <v>4</v>
      </c>
      <c r="D61" s="7" t="s">
        <v>5</v>
      </c>
      <c r="E61" s="8" t="s">
        <v>6</v>
      </c>
      <c r="F61" s="9" t="s">
        <v>7</v>
      </c>
      <c r="G61" s="4" t="s">
        <v>8</v>
      </c>
      <c r="H61" s="10" t="s">
        <v>9</v>
      </c>
    </row>
    <row r="62" ht="15.75" customHeight="1">
      <c r="A62" s="70">
        <v>16.0</v>
      </c>
      <c r="B62" s="71" t="s">
        <v>98</v>
      </c>
      <c r="C62" s="72" t="s">
        <v>11</v>
      </c>
      <c r="D62" s="73">
        <v>1.0</v>
      </c>
      <c r="E62" s="74" t="s">
        <v>99</v>
      </c>
      <c r="F62" s="75" t="s">
        <v>100</v>
      </c>
      <c r="G62" s="76">
        <v>45813.0</v>
      </c>
      <c r="H62" s="77">
        <v>45814.0</v>
      </c>
    </row>
    <row r="63" ht="15.75" customHeight="1">
      <c r="A63" s="70">
        <v>16.0</v>
      </c>
      <c r="B63" s="71" t="s">
        <v>101</v>
      </c>
      <c r="C63" s="72" t="s">
        <v>11</v>
      </c>
      <c r="D63" s="73">
        <v>2.0</v>
      </c>
      <c r="E63" s="74" t="s">
        <v>99</v>
      </c>
      <c r="F63" s="75" t="s">
        <v>102</v>
      </c>
      <c r="G63" s="76">
        <v>45813.0</v>
      </c>
      <c r="H63" s="77">
        <v>45814.0</v>
      </c>
    </row>
    <row r="64" ht="15.75" customHeight="1">
      <c r="A64" s="70">
        <v>16.0</v>
      </c>
      <c r="B64" s="71" t="s">
        <v>103</v>
      </c>
      <c r="C64" s="72" t="s">
        <v>11</v>
      </c>
      <c r="D64" s="73">
        <v>2.0</v>
      </c>
      <c r="E64" s="74" t="s">
        <v>99</v>
      </c>
      <c r="F64" s="75" t="s">
        <v>104</v>
      </c>
      <c r="G64" s="76">
        <v>45815.0</v>
      </c>
      <c r="H64" s="77">
        <v>45816.0</v>
      </c>
    </row>
    <row r="65" ht="15.75" customHeight="1">
      <c r="A65" s="1" t="s">
        <v>0</v>
      </c>
      <c r="B65" s="2"/>
      <c r="C65" s="2"/>
      <c r="D65" s="2"/>
      <c r="E65" s="2"/>
      <c r="F65" s="3"/>
      <c r="G65" s="4" t="s">
        <v>1</v>
      </c>
      <c r="H65" s="5"/>
    </row>
    <row r="66" ht="15.75" customHeight="1">
      <c r="A66" s="6" t="s">
        <v>2</v>
      </c>
      <c r="B66" s="7" t="s">
        <v>3</v>
      </c>
      <c r="C66" s="7" t="s">
        <v>4</v>
      </c>
      <c r="D66" s="7" t="s">
        <v>5</v>
      </c>
      <c r="E66" s="8" t="s">
        <v>6</v>
      </c>
      <c r="F66" s="9" t="s">
        <v>7</v>
      </c>
      <c r="G66" s="4" t="s">
        <v>8</v>
      </c>
      <c r="H66" s="10" t="s">
        <v>9</v>
      </c>
    </row>
    <row r="67" ht="15.75" customHeight="1">
      <c r="A67" s="78">
        <v>20.0</v>
      </c>
      <c r="B67" s="79" t="s">
        <v>105</v>
      </c>
      <c r="C67" s="80" t="s">
        <v>11</v>
      </c>
      <c r="D67" s="80">
        <v>2.0</v>
      </c>
      <c r="E67" s="81" t="s">
        <v>12</v>
      </c>
      <c r="F67" s="82" t="s">
        <v>106</v>
      </c>
      <c r="G67" s="83">
        <v>45816.0</v>
      </c>
      <c r="H67" s="84">
        <v>45817.0</v>
      </c>
    </row>
    <row r="68" ht="15.75" customHeight="1">
      <c r="A68" s="78">
        <v>20.0</v>
      </c>
      <c r="B68" s="79" t="s">
        <v>107</v>
      </c>
      <c r="C68" s="80" t="s">
        <v>11</v>
      </c>
      <c r="D68" s="80">
        <v>2.0</v>
      </c>
      <c r="E68" s="81" t="s">
        <v>12</v>
      </c>
      <c r="F68" s="82" t="s">
        <v>108</v>
      </c>
      <c r="G68" s="83">
        <v>45816.0</v>
      </c>
      <c r="H68" s="84">
        <v>45817.0</v>
      </c>
    </row>
    <row r="69" ht="15.75" customHeight="1">
      <c r="A69" s="78">
        <v>20.0</v>
      </c>
      <c r="B69" s="79" t="s">
        <v>109</v>
      </c>
      <c r="C69" s="80" t="s">
        <v>11</v>
      </c>
      <c r="D69" s="80">
        <v>2.0</v>
      </c>
      <c r="E69" s="81" t="s">
        <v>12</v>
      </c>
      <c r="F69" s="82" t="s">
        <v>110</v>
      </c>
      <c r="G69" s="83">
        <v>45816.0</v>
      </c>
      <c r="H69" s="84">
        <v>45817.0</v>
      </c>
    </row>
    <row r="70" ht="15.75" customHeight="1">
      <c r="A70" s="1" t="s">
        <v>0</v>
      </c>
      <c r="B70" s="2"/>
      <c r="C70" s="2"/>
      <c r="D70" s="2"/>
      <c r="E70" s="2"/>
      <c r="F70" s="3"/>
      <c r="G70" s="4" t="s">
        <v>1</v>
      </c>
      <c r="H70" s="5"/>
    </row>
    <row r="71" ht="15.75" customHeight="1">
      <c r="A71" s="6" t="s">
        <v>2</v>
      </c>
      <c r="B71" s="7" t="s">
        <v>3</v>
      </c>
      <c r="C71" s="7" t="s">
        <v>4</v>
      </c>
      <c r="D71" s="7" t="s">
        <v>5</v>
      </c>
      <c r="E71" s="8" t="s">
        <v>6</v>
      </c>
      <c r="F71" s="9" t="s">
        <v>7</v>
      </c>
      <c r="G71" s="4" t="s">
        <v>8</v>
      </c>
      <c r="H71" s="10" t="s">
        <v>9</v>
      </c>
    </row>
    <row r="72" ht="15.75" customHeight="1">
      <c r="A72" s="85">
        <v>22.0</v>
      </c>
      <c r="B72" s="86" t="s">
        <v>111</v>
      </c>
      <c r="C72" s="87" t="s">
        <v>11</v>
      </c>
      <c r="D72" s="87">
        <v>2.0</v>
      </c>
      <c r="E72" s="88" t="s">
        <v>12</v>
      </c>
      <c r="F72" s="89" t="s">
        <v>112</v>
      </c>
      <c r="G72" s="90">
        <v>45818.0</v>
      </c>
      <c r="H72" s="91">
        <v>45818.0</v>
      </c>
    </row>
    <row r="73" ht="15.75" customHeight="1">
      <c r="A73" s="85">
        <v>22.0</v>
      </c>
      <c r="B73" s="86" t="s">
        <v>113</v>
      </c>
      <c r="C73" s="87" t="s">
        <v>11</v>
      </c>
      <c r="D73" s="87">
        <v>2.0</v>
      </c>
      <c r="E73" s="88" t="s">
        <v>12</v>
      </c>
      <c r="F73" s="89" t="s">
        <v>114</v>
      </c>
      <c r="G73" s="90">
        <v>45819.0</v>
      </c>
      <c r="H73" s="91">
        <v>45819.0</v>
      </c>
    </row>
    <row r="74" ht="15.75" customHeight="1">
      <c r="A74" s="85">
        <v>22.0</v>
      </c>
      <c r="B74" s="86" t="s">
        <v>115</v>
      </c>
      <c r="C74" s="87" t="s">
        <v>11</v>
      </c>
      <c r="D74" s="87">
        <v>2.0</v>
      </c>
      <c r="E74" s="88" t="s">
        <v>12</v>
      </c>
      <c r="F74" s="89" t="s">
        <v>116</v>
      </c>
      <c r="G74" s="90">
        <v>45819.0</v>
      </c>
      <c r="H74" s="91">
        <v>45819.0</v>
      </c>
    </row>
    <row r="75" ht="15.75" customHeight="1">
      <c r="A75" s="85">
        <v>22.0</v>
      </c>
      <c r="B75" s="86" t="s">
        <v>117</v>
      </c>
      <c r="C75" s="87" t="s">
        <v>11</v>
      </c>
      <c r="D75" s="87">
        <v>2.0</v>
      </c>
      <c r="E75" s="88" t="s">
        <v>12</v>
      </c>
      <c r="F75" s="89" t="s">
        <v>118</v>
      </c>
      <c r="G75" s="90">
        <v>45820.0</v>
      </c>
      <c r="H75" s="91">
        <v>45820.0</v>
      </c>
    </row>
    <row r="76" ht="15.75" customHeight="1">
      <c r="A76" s="85">
        <v>22.0</v>
      </c>
      <c r="B76" s="86" t="s">
        <v>119</v>
      </c>
      <c r="C76" s="87" t="s">
        <v>11</v>
      </c>
      <c r="D76" s="87">
        <v>2.0</v>
      </c>
      <c r="E76" s="88" t="s">
        <v>12</v>
      </c>
      <c r="F76" s="89" t="s">
        <v>120</v>
      </c>
      <c r="G76" s="90">
        <v>45820.0</v>
      </c>
      <c r="H76" s="91">
        <v>45820.0</v>
      </c>
    </row>
    <row r="77" ht="15.75" customHeight="1">
      <c r="A77" s="1" t="s">
        <v>0</v>
      </c>
      <c r="B77" s="2"/>
      <c r="C77" s="2"/>
      <c r="D77" s="2"/>
      <c r="E77" s="2"/>
      <c r="F77" s="3"/>
      <c r="G77" s="4" t="s">
        <v>1</v>
      </c>
      <c r="H77" s="5"/>
    </row>
    <row r="78" ht="15.75" customHeight="1">
      <c r="A78" s="6" t="s">
        <v>2</v>
      </c>
      <c r="B78" s="7" t="s">
        <v>3</v>
      </c>
      <c r="C78" s="7" t="s">
        <v>4</v>
      </c>
      <c r="D78" s="7" t="s">
        <v>5</v>
      </c>
      <c r="E78" s="8" t="s">
        <v>6</v>
      </c>
      <c r="F78" s="9" t="s">
        <v>7</v>
      </c>
      <c r="G78" s="4" t="s">
        <v>8</v>
      </c>
      <c r="H78" s="10" t="s">
        <v>9</v>
      </c>
    </row>
    <row r="79" ht="15.75" customHeight="1">
      <c r="A79" s="92">
        <v>52.0</v>
      </c>
      <c r="B79" s="93" t="s">
        <v>121</v>
      </c>
      <c r="C79" s="94" t="s">
        <v>11</v>
      </c>
      <c r="D79" s="95">
        <v>1.0</v>
      </c>
      <c r="E79" s="96" t="s">
        <v>12</v>
      </c>
      <c r="F79" s="97" t="s">
        <v>122</v>
      </c>
      <c r="G79" s="98">
        <v>45821.0</v>
      </c>
      <c r="H79" s="99">
        <v>45822.0</v>
      </c>
    </row>
    <row r="80" ht="15.75" customHeight="1">
      <c r="A80" s="92">
        <v>52.0</v>
      </c>
      <c r="B80" s="93" t="s">
        <v>123</v>
      </c>
      <c r="C80" s="94" t="s">
        <v>11</v>
      </c>
      <c r="D80" s="95">
        <v>1.0</v>
      </c>
      <c r="E80" s="96" t="s">
        <v>12</v>
      </c>
      <c r="F80" s="97" t="s">
        <v>124</v>
      </c>
      <c r="G80" s="98">
        <v>45821.0</v>
      </c>
      <c r="H80" s="99">
        <v>45822.0</v>
      </c>
    </row>
    <row r="81" ht="15.75" customHeight="1">
      <c r="A81" s="92">
        <v>52.0</v>
      </c>
      <c r="B81" s="93" t="s">
        <v>125</v>
      </c>
      <c r="C81" s="94" t="s">
        <v>11</v>
      </c>
      <c r="D81" s="95">
        <v>1.0</v>
      </c>
      <c r="E81" s="96" t="s">
        <v>12</v>
      </c>
      <c r="F81" s="97" t="s">
        <v>126</v>
      </c>
      <c r="G81" s="98">
        <v>45821.0</v>
      </c>
      <c r="H81" s="99">
        <v>45822.0</v>
      </c>
    </row>
    <row r="82" ht="15.75" customHeight="1">
      <c r="A82" s="92">
        <v>52.0</v>
      </c>
      <c r="B82" s="93" t="s">
        <v>127</v>
      </c>
      <c r="C82" s="94" t="s">
        <v>11</v>
      </c>
      <c r="D82" s="95">
        <v>1.0</v>
      </c>
      <c r="E82" s="96" t="s">
        <v>12</v>
      </c>
      <c r="F82" s="97" t="s">
        <v>128</v>
      </c>
      <c r="G82" s="98">
        <v>45822.0</v>
      </c>
      <c r="H82" s="99">
        <v>45822.0</v>
      </c>
    </row>
    <row r="83" ht="15.75" customHeight="1"/>
    <row r="84" ht="15.75" customHeight="1"/>
    <row r="85" ht="15.75" customHeight="1">
      <c r="A85" s="100" t="s">
        <v>129</v>
      </c>
      <c r="B85" s="100" t="s">
        <v>130</v>
      </c>
      <c r="C85" s="101" t="s">
        <v>131</v>
      </c>
      <c r="D85" s="102" t="s">
        <v>132</v>
      </c>
    </row>
    <row r="86" ht="15.75" customHeight="1">
      <c r="A86" s="103">
        <v>1.0</v>
      </c>
      <c r="B86" s="104">
        <v>11.0</v>
      </c>
      <c r="C86" s="105">
        <v>0.2</v>
      </c>
      <c r="D86" s="105">
        <f>C86</f>
        <v>0.2</v>
      </c>
    </row>
    <row r="87" ht="15.75" customHeight="1">
      <c r="A87" s="106">
        <v>2.0</v>
      </c>
      <c r="B87" s="107">
        <v>30.0</v>
      </c>
      <c r="C87" s="108">
        <v>0.5</v>
      </c>
      <c r="D87" s="108">
        <f t="shared" ref="D87:D89" si="1">D86+C87</f>
        <v>0.7</v>
      </c>
    </row>
    <row r="88" ht="15.75" customHeight="1">
      <c r="A88" s="109">
        <v>3.0</v>
      </c>
      <c r="B88" s="110">
        <v>9.0</v>
      </c>
      <c r="C88" s="111">
        <v>0.17</v>
      </c>
      <c r="D88" s="112">
        <f t="shared" si="1"/>
        <v>0.87</v>
      </c>
    </row>
    <row r="89" ht="15.75" customHeight="1">
      <c r="A89" s="113">
        <v>4.0</v>
      </c>
      <c r="B89" s="114">
        <v>7.0</v>
      </c>
      <c r="C89" s="115">
        <v>0.13</v>
      </c>
      <c r="D89" s="116">
        <f t="shared" si="1"/>
        <v>1</v>
      </c>
    </row>
    <row r="90" ht="15.75" customHeight="1"/>
    <row r="91" ht="15.75" customHeight="1">
      <c r="A91" s="117" t="s">
        <v>133</v>
      </c>
      <c r="B91" s="117" t="s">
        <v>131</v>
      </c>
      <c r="C91" s="118" t="s">
        <v>132</v>
      </c>
    </row>
    <row r="92" ht="15.75" customHeight="1">
      <c r="A92" s="119" t="s">
        <v>134</v>
      </c>
      <c r="B92" s="120">
        <v>0.02</v>
      </c>
      <c r="C92" s="121">
        <f>B92</f>
        <v>0.02</v>
      </c>
      <c r="E92" s="122">
        <v>1.0</v>
      </c>
    </row>
    <row r="93" ht="15.75" customHeight="1">
      <c r="A93" s="123" t="s">
        <v>135</v>
      </c>
      <c r="B93" s="124">
        <v>0.02</v>
      </c>
      <c r="C93" s="125">
        <f t="shared" ref="C93:C102" si="2">C92+B93</f>
        <v>0.04</v>
      </c>
      <c r="E93" s="126">
        <f t="shared" ref="E93:E102" si="3">E92+1</f>
        <v>2</v>
      </c>
    </row>
    <row r="94" ht="15.75" customHeight="1">
      <c r="A94" s="119" t="s">
        <v>136</v>
      </c>
      <c r="B94" s="127">
        <v>0.02</v>
      </c>
      <c r="C94" s="121">
        <f t="shared" si="2"/>
        <v>0.06</v>
      </c>
      <c r="E94" s="126">
        <f t="shared" si="3"/>
        <v>3</v>
      </c>
    </row>
    <row r="95" ht="15.75" customHeight="1">
      <c r="A95" s="123" t="s">
        <v>137</v>
      </c>
      <c r="B95" s="124">
        <v>0.02</v>
      </c>
      <c r="C95" s="125">
        <f t="shared" si="2"/>
        <v>0.08</v>
      </c>
      <c r="E95" s="126">
        <f t="shared" si="3"/>
        <v>4</v>
      </c>
    </row>
    <row r="96" ht="15.75" customHeight="1">
      <c r="A96" s="128" t="s">
        <v>138</v>
      </c>
      <c r="B96" s="129">
        <v>0.02</v>
      </c>
      <c r="C96" s="121">
        <f t="shared" si="2"/>
        <v>0.1</v>
      </c>
      <c r="E96" s="126">
        <f t="shared" si="3"/>
        <v>5</v>
      </c>
    </row>
    <row r="97" ht="15.75" customHeight="1">
      <c r="A97" s="130" t="s">
        <v>139</v>
      </c>
      <c r="B97" s="124">
        <v>0.02</v>
      </c>
      <c r="C97" s="125">
        <f t="shared" si="2"/>
        <v>0.12</v>
      </c>
      <c r="E97" s="126">
        <f t="shared" si="3"/>
        <v>6</v>
      </c>
    </row>
    <row r="98" ht="15.75" customHeight="1">
      <c r="A98" s="128" t="s">
        <v>140</v>
      </c>
      <c r="B98" s="127">
        <v>0.02</v>
      </c>
      <c r="C98" s="121">
        <f t="shared" si="2"/>
        <v>0.14</v>
      </c>
      <c r="E98" s="126">
        <f t="shared" si="3"/>
        <v>7</v>
      </c>
    </row>
    <row r="99" ht="15.75" customHeight="1">
      <c r="A99" s="130" t="s">
        <v>141</v>
      </c>
      <c r="B99" s="131">
        <v>0.02</v>
      </c>
      <c r="C99" s="125">
        <f t="shared" si="2"/>
        <v>0.16</v>
      </c>
      <c r="E99" s="126">
        <f t="shared" si="3"/>
        <v>8</v>
      </c>
    </row>
    <row r="100" ht="15.75" customHeight="1">
      <c r="A100" s="128" t="s">
        <v>142</v>
      </c>
      <c r="B100" s="127">
        <v>0.01</v>
      </c>
      <c r="C100" s="121">
        <f t="shared" si="2"/>
        <v>0.17</v>
      </c>
      <c r="E100" s="126">
        <f t="shared" si="3"/>
        <v>9</v>
      </c>
    </row>
    <row r="101" ht="15.75" customHeight="1">
      <c r="A101" s="130" t="s">
        <v>143</v>
      </c>
      <c r="B101" s="124">
        <v>0.02</v>
      </c>
      <c r="C101" s="125">
        <f t="shared" si="2"/>
        <v>0.19</v>
      </c>
      <c r="E101" s="126">
        <f t="shared" si="3"/>
        <v>10</v>
      </c>
    </row>
    <row r="102" ht="15.75" customHeight="1">
      <c r="A102" s="132" t="s">
        <v>144</v>
      </c>
      <c r="B102" s="133">
        <v>0.01</v>
      </c>
      <c r="C102" s="121">
        <f t="shared" si="2"/>
        <v>0.2</v>
      </c>
      <c r="E102" s="126">
        <f t="shared" si="3"/>
        <v>11</v>
      </c>
    </row>
    <row r="103" ht="15.75" customHeight="1">
      <c r="A103" s="134" t="s">
        <v>145</v>
      </c>
      <c r="B103" s="135" t="s">
        <v>131</v>
      </c>
      <c r="C103" s="136" t="s">
        <v>132</v>
      </c>
    </row>
    <row r="104" ht="15.75" customHeight="1">
      <c r="A104" s="137" t="s">
        <v>146</v>
      </c>
      <c r="B104" s="138">
        <v>0.02</v>
      </c>
      <c r="C104" s="139">
        <f>C102+B104</f>
        <v>0.22</v>
      </c>
      <c r="E104" s="126">
        <f>E102+1</f>
        <v>12</v>
      </c>
      <c r="F104" s="122">
        <v>1.0</v>
      </c>
    </row>
    <row r="105" ht="15.75" customHeight="1">
      <c r="A105" s="140" t="s">
        <v>147</v>
      </c>
      <c r="B105" s="141">
        <v>0.02</v>
      </c>
      <c r="C105" s="142">
        <f t="shared" ref="C105:C133" si="5">C104+B105</f>
        <v>0.24</v>
      </c>
      <c r="E105" s="126">
        <f t="shared" ref="E105:F105" si="4">E104+1</f>
        <v>13</v>
      </c>
      <c r="F105" s="126">
        <f t="shared" si="4"/>
        <v>2</v>
      </c>
    </row>
    <row r="106" ht="15.75" customHeight="1">
      <c r="A106" s="137" t="s">
        <v>148</v>
      </c>
      <c r="B106" s="138">
        <v>0.02</v>
      </c>
      <c r="C106" s="139">
        <f t="shared" si="5"/>
        <v>0.26</v>
      </c>
      <c r="E106" s="126">
        <f t="shared" ref="E106:F106" si="6">E105+1</f>
        <v>14</v>
      </c>
      <c r="F106" s="126">
        <f t="shared" si="6"/>
        <v>3</v>
      </c>
    </row>
    <row r="107" ht="15.75" customHeight="1">
      <c r="A107" s="140" t="s">
        <v>149</v>
      </c>
      <c r="B107" s="141">
        <v>0.02</v>
      </c>
      <c r="C107" s="142">
        <f t="shared" si="5"/>
        <v>0.28</v>
      </c>
      <c r="E107" s="126">
        <f t="shared" ref="E107:F107" si="7">E106+1</f>
        <v>15</v>
      </c>
      <c r="F107" s="126">
        <f t="shared" si="7"/>
        <v>4</v>
      </c>
    </row>
    <row r="108" ht="15.75" customHeight="1">
      <c r="A108" s="137" t="s">
        <v>150</v>
      </c>
      <c r="B108" s="138">
        <v>0.02</v>
      </c>
      <c r="C108" s="139">
        <f t="shared" si="5"/>
        <v>0.3</v>
      </c>
      <c r="E108" s="126">
        <f t="shared" ref="E108:F108" si="8">E107+1</f>
        <v>16</v>
      </c>
      <c r="F108" s="126">
        <f t="shared" si="8"/>
        <v>5</v>
      </c>
    </row>
    <row r="109" ht="15.75" customHeight="1">
      <c r="A109" s="140" t="s">
        <v>151</v>
      </c>
      <c r="B109" s="141">
        <v>0.02</v>
      </c>
      <c r="C109" s="142">
        <f t="shared" si="5"/>
        <v>0.32</v>
      </c>
      <c r="E109" s="126">
        <f t="shared" ref="E109:F109" si="9">E108+1</f>
        <v>17</v>
      </c>
      <c r="F109" s="126">
        <f t="shared" si="9"/>
        <v>6</v>
      </c>
    </row>
    <row r="110" ht="15.75" customHeight="1">
      <c r="A110" s="137" t="s">
        <v>152</v>
      </c>
      <c r="B110" s="138">
        <v>0.02</v>
      </c>
      <c r="C110" s="139">
        <f t="shared" si="5"/>
        <v>0.34</v>
      </c>
      <c r="E110" s="126">
        <f t="shared" ref="E110:F110" si="10">E109+1</f>
        <v>18</v>
      </c>
      <c r="F110" s="126">
        <f t="shared" si="10"/>
        <v>7</v>
      </c>
    </row>
    <row r="111" ht="15.75" customHeight="1">
      <c r="A111" s="140" t="s">
        <v>153</v>
      </c>
      <c r="B111" s="141">
        <v>0.02</v>
      </c>
      <c r="C111" s="142">
        <f t="shared" si="5"/>
        <v>0.36</v>
      </c>
      <c r="E111" s="126">
        <f t="shared" ref="E111:F111" si="11">E110+1</f>
        <v>19</v>
      </c>
      <c r="F111" s="126">
        <f t="shared" si="11"/>
        <v>8</v>
      </c>
    </row>
    <row r="112" ht="15.75" customHeight="1">
      <c r="A112" s="137" t="s">
        <v>154</v>
      </c>
      <c r="B112" s="138">
        <v>0.02</v>
      </c>
      <c r="C112" s="139">
        <f t="shared" si="5"/>
        <v>0.38</v>
      </c>
      <c r="E112" s="126">
        <f t="shared" ref="E112:F112" si="12">E111+1</f>
        <v>20</v>
      </c>
      <c r="F112" s="126">
        <f t="shared" si="12"/>
        <v>9</v>
      </c>
    </row>
    <row r="113" ht="15.75" customHeight="1">
      <c r="A113" s="140" t="s">
        <v>155</v>
      </c>
      <c r="B113" s="141">
        <v>0.02</v>
      </c>
      <c r="C113" s="142">
        <f t="shared" si="5"/>
        <v>0.4</v>
      </c>
      <c r="E113" s="126">
        <f t="shared" ref="E113:F113" si="13">E112+1</f>
        <v>21</v>
      </c>
      <c r="F113" s="126">
        <f t="shared" si="13"/>
        <v>10</v>
      </c>
    </row>
    <row r="114" ht="15.75" customHeight="1">
      <c r="A114" s="143" t="s">
        <v>142</v>
      </c>
      <c r="B114" s="138">
        <v>0.02</v>
      </c>
      <c r="C114" s="139">
        <f t="shared" si="5"/>
        <v>0.42</v>
      </c>
      <c r="E114" s="126">
        <f t="shared" ref="E114:F114" si="14">E113+1</f>
        <v>22</v>
      </c>
      <c r="F114" s="126">
        <f t="shared" si="14"/>
        <v>11</v>
      </c>
    </row>
    <row r="115" ht="15.75" customHeight="1">
      <c r="A115" s="140" t="s">
        <v>156</v>
      </c>
      <c r="B115" s="141">
        <v>0.01</v>
      </c>
      <c r="C115" s="142">
        <f t="shared" si="5"/>
        <v>0.43</v>
      </c>
      <c r="E115" s="126">
        <f t="shared" ref="E115:F115" si="15">E114+1</f>
        <v>23</v>
      </c>
      <c r="F115" s="126">
        <f t="shared" si="15"/>
        <v>12</v>
      </c>
    </row>
    <row r="116" ht="15.75" customHeight="1">
      <c r="A116" s="137" t="s">
        <v>157</v>
      </c>
      <c r="B116" s="138">
        <v>0.02</v>
      </c>
      <c r="C116" s="139">
        <f t="shared" si="5"/>
        <v>0.45</v>
      </c>
      <c r="E116" s="126">
        <f t="shared" ref="E116:F116" si="16">E115+1</f>
        <v>24</v>
      </c>
      <c r="F116" s="126">
        <f t="shared" si="16"/>
        <v>13</v>
      </c>
    </row>
    <row r="117" ht="15.75" customHeight="1">
      <c r="A117" s="140" t="s">
        <v>158</v>
      </c>
      <c r="B117" s="142">
        <v>0.01</v>
      </c>
      <c r="C117" s="142">
        <f t="shared" si="5"/>
        <v>0.46</v>
      </c>
      <c r="E117" s="126">
        <f t="shared" ref="E117:F117" si="17">E116+1</f>
        <v>25</v>
      </c>
      <c r="F117" s="126">
        <f t="shared" si="17"/>
        <v>14</v>
      </c>
    </row>
    <row r="118" ht="15.75" customHeight="1">
      <c r="A118" s="137" t="s">
        <v>159</v>
      </c>
      <c r="B118" s="139">
        <v>0.01</v>
      </c>
      <c r="C118" s="139">
        <f t="shared" si="5"/>
        <v>0.47</v>
      </c>
      <c r="E118" s="126">
        <f t="shared" ref="E118:F118" si="18">E117+1</f>
        <v>26</v>
      </c>
      <c r="F118" s="126">
        <f t="shared" si="18"/>
        <v>15</v>
      </c>
    </row>
    <row r="119" ht="15.75" customHeight="1">
      <c r="A119" s="140" t="s">
        <v>160</v>
      </c>
      <c r="B119" s="142">
        <v>0.01</v>
      </c>
      <c r="C119" s="142">
        <f t="shared" si="5"/>
        <v>0.48</v>
      </c>
      <c r="E119" s="126">
        <f t="shared" ref="E119:F119" si="19">E118+1</f>
        <v>27</v>
      </c>
      <c r="F119" s="126">
        <f t="shared" si="19"/>
        <v>16</v>
      </c>
    </row>
    <row r="120" ht="15.75" customHeight="1">
      <c r="A120" s="137" t="s">
        <v>161</v>
      </c>
      <c r="B120" s="138">
        <v>0.02</v>
      </c>
      <c r="C120" s="139">
        <f t="shared" si="5"/>
        <v>0.5</v>
      </c>
      <c r="E120" s="126">
        <f t="shared" ref="E120:F120" si="20">E119+1</f>
        <v>28</v>
      </c>
      <c r="F120" s="126">
        <f t="shared" si="20"/>
        <v>17</v>
      </c>
    </row>
    <row r="121" ht="15.75" customHeight="1">
      <c r="A121" s="140" t="s">
        <v>162</v>
      </c>
      <c r="B121" s="141">
        <v>0.02</v>
      </c>
      <c r="C121" s="142">
        <f t="shared" si="5"/>
        <v>0.52</v>
      </c>
      <c r="E121" s="126">
        <f t="shared" ref="E121:F121" si="21">E120+1</f>
        <v>29</v>
      </c>
      <c r="F121" s="126">
        <f t="shared" si="21"/>
        <v>18</v>
      </c>
    </row>
    <row r="122" ht="15.75" customHeight="1">
      <c r="A122" s="137" t="s">
        <v>163</v>
      </c>
      <c r="B122" s="138">
        <v>0.01</v>
      </c>
      <c r="C122" s="139">
        <f t="shared" si="5"/>
        <v>0.53</v>
      </c>
      <c r="E122" s="126">
        <f t="shared" ref="E122:F122" si="22">E121+1</f>
        <v>30</v>
      </c>
      <c r="F122" s="126">
        <f t="shared" si="22"/>
        <v>19</v>
      </c>
    </row>
    <row r="123" ht="15.75" customHeight="1">
      <c r="A123" s="140" t="s">
        <v>164</v>
      </c>
      <c r="B123" s="141">
        <v>0.01</v>
      </c>
      <c r="C123" s="142">
        <f t="shared" si="5"/>
        <v>0.54</v>
      </c>
      <c r="E123" s="126">
        <f t="shared" ref="E123:F123" si="23">E122+1</f>
        <v>31</v>
      </c>
      <c r="F123" s="126">
        <f t="shared" si="23"/>
        <v>20</v>
      </c>
    </row>
    <row r="124" ht="15.75" customHeight="1">
      <c r="A124" s="137" t="s">
        <v>165</v>
      </c>
      <c r="B124" s="138">
        <v>0.02</v>
      </c>
      <c r="C124" s="139">
        <f t="shared" si="5"/>
        <v>0.56</v>
      </c>
      <c r="E124" s="126">
        <f t="shared" ref="E124:F124" si="24">E123+1</f>
        <v>32</v>
      </c>
      <c r="F124" s="126">
        <f t="shared" si="24"/>
        <v>21</v>
      </c>
    </row>
    <row r="125" ht="15.75" customHeight="1">
      <c r="A125" s="140" t="s">
        <v>166</v>
      </c>
      <c r="B125" s="141">
        <v>0.02</v>
      </c>
      <c r="C125" s="142">
        <f t="shared" si="5"/>
        <v>0.58</v>
      </c>
      <c r="E125" s="126">
        <f t="shared" ref="E125:F125" si="25">E124+1</f>
        <v>33</v>
      </c>
      <c r="F125" s="126">
        <f t="shared" si="25"/>
        <v>22</v>
      </c>
    </row>
    <row r="126" ht="15.75" customHeight="1">
      <c r="A126" s="137" t="s">
        <v>167</v>
      </c>
      <c r="B126" s="138">
        <v>0.02</v>
      </c>
      <c r="C126" s="139">
        <f t="shared" si="5"/>
        <v>0.6</v>
      </c>
      <c r="E126" s="126">
        <f t="shared" ref="E126:F126" si="26">E125+1</f>
        <v>34</v>
      </c>
      <c r="F126" s="126">
        <f t="shared" si="26"/>
        <v>23</v>
      </c>
    </row>
    <row r="127" ht="15.75" customHeight="1">
      <c r="A127" s="140" t="s">
        <v>168</v>
      </c>
      <c r="B127" s="141">
        <v>0.01</v>
      </c>
      <c r="C127" s="142">
        <f t="shared" si="5"/>
        <v>0.61</v>
      </c>
      <c r="E127" s="126">
        <f t="shared" ref="E127:F127" si="27">E126+1</f>
        <v>35</v>
      </c>
      <c r="F127" s="126">
        <f t="shared" si="27"/>
        <v>24</v>
      </c>
    </row>
    <row r="128" ht="15.75" customHeight="1">
      <c r="A128" s="137" t="s">
        <v>169</v>
      </c>
      <c r="B128" s="138">
        <v>0.02</v>
      </c>
      <c r="C128" s="139">
        <f t="shared" si="5"/>
        <v>0.63</v>
      </c>
      <c r="E128" s="126">
        <f t="shared" ref="E128:F128" si="28">E127+1</f>
        <v>36</v>
      </c>
      <c r="F128" s="126">
        <f t="shared" si="28"/>
        <v>25</v>
      </c>
    </row>
    <row r="129" ht="15.75" customHeight="1">
      <c r="A129" s="140" t="s">
        <v>170</v>
      </c>
      <c r="B129" s="141">
        <v>0.01</v>
      </c>
      <c r="C129" s="142">
        <f t="shared" si="5"/>
        <v>0.64</v>
      </c>
      <c r="E129" s="126">
        <f t="shared" ref="E129:F129" si="29">E128+1</f>
        <v>37</v>
      </c>
      <c r="F129" s="126">
        <f t="shared" si="29"/>
        <v>26</v>
      </c>
    </row>
    <row r="130" ht="15.75" customHeight="1">
      <c r="A130" s="137" t="s">
        <v>171</v>
      </c>
      <c r="B130" s="138">
        <v>0.02</v>
      </c>
      <c r="C130" s="139">
        <f t="shared" si="5"/>
        <v>0.66</v>
      </c>
      <c r="E130" s="126">
        <f t="shared" ref="E130:F130" si="30">E129+1</f>
        <v>38</v>
      </c>
      <c r="F130" s="126">
        <f t="shared" si="30"/>
        <v>27</v>
      </c>
    </row>
    <row r="131" ht="15.75" customHeight="1">
      <c r="A131" s="140" t="s">
        <v>172</v>
      </c>
      <c r="B131" s="141">
        <v>0.02</v>
      </c>
      <c r="C131" s="142">
        <f t="shared" si="5"/>
        <v>0.68</v>
      </c>
      <c r="E131" s="126">
        <f t="shared" ref="E131:F131" si="31">E130+1</f>
        <v>39</v>
      </c>
      <c r="F131" s="126">
        <f t="shared" si="31"/>
        <v>28</v>
      </c>
    </row>
    <row r="132" ht="15.75" customHeight="1">
      <c r="A132" s="137" t="s">
        <v>173</v>
      </c>
      <c r="B132" s="138">
        <v>0.01</v>
      </c>
      <c r="C132" s="139">
        <f t="shared" si="5"/>
        <v>0.69</v>
      </c>
      <c r="E132" s="126">
        <f t="shared" ref="E132:F132" si="32">E131+1</f>
        <v>40</v>
      </c>
      <c r="F132" s="126">
        <f t="shared" si="32"/>
        <v>29</v>
      </c>
    </row>
    <row r="133" ht="15.75" customHeight="1">
      <c r="A133" s="140" t="s">
        <v>174</v>
      </c>
      <c r="B133" s="141">
        <v>0.01</v>
      </c>
      <c r="C133" s="142">
        <f t="shared" si="5"/>
        <v>0.7</v>
      </c>
      <c r="E133" s="126">
        <f t="shared" ref="E133:F133" si="33">E132+1</f>
        <v>41</v>
      </c>
      <c r="F133" s="126">
        <f t="shared" si="33"/>
        <v>30</v>
      </c>
    </row>
    <row r="134" ht="15.75" customHeight="1">
      <c r="A134" s="144" t="s">
        <v>175</v>
      </c>
      <c r="B134" s="144" t="s">
        <v>131</v>
      </c>
      <c r="C134" s="145" t="s">
        <v>132</v>
      </c>
    </row>
    <row r="135" ht="15.75" customHeight="1">
      <c r="A135" s="146" t="s">
        <v>176</v>
      </c>
      <c r="B135" s="147">
        <v>0.02</v>
      </c>
      <c r="C135" s="148">
        <f>C133+B135</f>
        <v>0.72</v>
      </c>
      <c r="E135" s="126">
        <f>E133+1</f>
        <v>42</v>
      </c>
      <c r="F135" s="122">
        <v>1.0</v>
      </c>
    </row>
    <row r="136" ht="15.75" customHeight="1">
      <c r="A136" s="149" t="s">
        <v>177</v>
      </c>
      <c r="B136" s="150">
        <v>0.02</v>
      </c>
      <c r="C136" s="151">
        <f t="shared" ref="C136:C143" si="35">C135+B136</f>
        <v>0.74</v>
      </c>
      <c r="E136" s="126">
        <f t="shared" ref="E136:F136" si="34">E135+1</f>
        <v>43</v>
      </c>
      <c r="F136" s="126">
        <f t="shared" si="34"/>
        <v>2</v>
      </c>
    </row>
    <row r="137" ht="15.75" customHeight="1">
      <c r="A137" s="146" t="s">
        <v>178</v>
      </c>
      <c r="B137" s="152">
        <v>0.02</v>
      </c>
      <c r="C137" s="153">
        <f t="shared" si="35"/>
        <v>0.76</v>
      </c>
      <c r="E137" s="126">
        <f t="shared" ref="E137:F137" si="36">E136+1</f>
        <v>44</v>
      </c>
      <c r="F137" s="126">
        <f t="shared" si="36"/>
        <v>3</v>
      </c>
    </row>
    <row r="138" ht="15.75" customHeight="1">
      <c r="A138" s="149" t="s">
        <v>179</v>
      </c>
      <c r="B138" s="150">
        <v>0.02</v>
      </c>
      <c r="C138" s="151">
        <f t="shared" si="35"/>
        <v>0.78</v>
      </c>
      <c r="E138" s="126">
        <f t="shared" ref="E138:F138" si="37">E137+1</f>
        <v>45</v>
      </c>
      <c r="F138" s="126">
        <f t="shared" si="37"/>
        <v>4</v>
      </c>
    </row>
    <row r="139" ht="15.75" customHeight="1">
      <c r="A139" s="146" t="s">
        <v>180</v>
      </c>
      <c r="B139" s="152">
        <v>0.02</v>
      </c>
      <c r="C139" s="153">
        <f t="shared" si="35"/>
        <v>0.8</v>
      </c>
      <c r="E139" s="126">
        <f t="shared" ref="E139:F139" si="38">E138+1</f>
        <v>46</v>
      </c>
      <c r="F139" s="126">
        <f t="shared" si="38"/>
        <v>5</v>
      </c>
    </row>
    <row r="140" ht="15.75" customHeight="1">
      <c r="A140" s="149" t="s">
        <v>181</v>
      </c>
      <c r="B140" s="150">
        <v>0.02</v>
      </c>
      <c r="C140" s="151">
        <f t="shared" si="35"/>
        <v>0.82</v>
      </c>
      <c r="E140" s="126">
        <f t="shared" ref="E140:F140" si="39">E139+1</f>
        <v>47</v>
      </c>
      <c r="F140" s="126">
        <f t="shared" si="39"/>
        <v>6</v>
      </c>
    </row>
    <row r="141" ht="15.75" customHeight="1">
      <c r="A141" s="146" t="s">
        <v>182</v>
      </c>
      <c r="B141" s="147">
        <v>0.02</v>
      </c>
      <c r="C141" s="148">
        <f t="shared" si="35"/>
        <v>0.84</v>
      </c>
      <c r="E141" s="126">
        <f t="shared" ref="E141:F141" si="40">E140+1</f>
        <v>48</v>
      </c>
      <c r="F141" s="126">
        <f t="shared" si="40"/>
        <v>7</v>
      </c>
    </row>
    <row r="142" ht="15.75" customHeight="1">
      <c r="A142" s="149" t="s">
        <v>183</v>
      </c>
      <c r="B142" s="154">
        <v>0.02</v>
      </c>
      <c r="C142" s="155">
        <f t="shared" si="35"/>
        <v>0.86</v>
      </c>
      <c r="E142" s="126">
        <f t="shared" ref="E142:F142" si="41">E141+1</f>
        <v>49</v>
      </c>
      <c r="F142" s="126">
        <f t="shared" si="41"/>
        <v>8</v>
      </c>
    </row>
    <row r="143" ht="15.75" customHeight="1">
      <c r="A143" s="156" t="s">
        <v>184</v>
      </c>
      <c r="B143" s="157">
        <v>0.01</v>
      </c>
      <c r="C143" s="157">
        <f t="shared" si="35"/>
        <v>0.87</v>
      </c>
      <c r="E143" s="126">
        <f t="shared" ref="E143:F143" si="42">E142+1</f>
        <v>50</v>
      </c>
      <c r="F143" s="126">
        <f t="shared" si="42"/>
        <v>9</v>
      </c>
    </row>
    <row r="144" ht="15.75" customHeight="1">
      <c r="A144" s="158" t="s">
        <v>185</v>
      </c>
      <c r="B144" s="159" t="s">
        <v>131</v>
      </c>
      <c r="C144" s="160" t="s">
        <v>132</v>
      </c>
    </row>
    <row r="145" ht="15.75" customHeight="1">
      <c r="A145" s="161" t="s">
        <v>186</v>
      </c>
      <c r="B145" s="162">
        <v>0.02</v>
      </c>
      <c r="C145" s="163">
        <f>C143+B145</f>
        <v>0.89</v>
      </c>
      <c r="E145" s="126">
        <f>E143+1</f>
        <v>51</v>
      </c>
      <c r="F145" s="122">
        <v>1.0</v>
      </c>
    </row>
    <row r="146" ht="15.75" customHeight="1">
      <c r="A146" s="164" t="s">
        <v>187</v>
      </c>
      <c r="B146" s="165">
        <v>0.02</v>
      </c>
      <c r="C146" s="166">
        <f t="shared" ref="C146:C151" si="44">C145+B146</f>
        <v>0.91</v>
      </c>
      <c r="E146" s="126">
        <f t="shared" ref="E146:F146" si="43">E145+1</f>
        <v>52</v>
      </c>
      <c r="F146" s="126">
        <f t="shared" si="43"/>
        <v>2</v>
      </c>
    </row>
    <row r="147" ht="15.75" customHeight="1">
      <c r="A147" s="161" t="s">
        <v>188</v>
      </c>
      <c r="B147" s="162">
        <v>0.02</v>
      </c>
      <c r="C147" s="163">
        <f t="shared" si="44"/>
        <v>0.93</v>
      </c>
      <c r="E147" s="126">
        <f t="shared" ref="E147:F147" si="45">E146+1</f>
        <v>53</v>
      </c>
      <c r="F147" s="126">
        <f t="shared" si="45"/>
        <v>3</v>
      </c>
    </row>
    <row r="148" ht="15.75" customHeight="1">
      <c r="A148" s="164" t="s">
        <v>189</v>
      </c>
      <c r="B148" s="165">
        <v>0.02</v>
      </c>
      <c r="C148" s="166">
        <f t="shared" si="44"/>
        <v>0.95</v>
      </c>
      <c r="E148" s="126">
        <f t="shared" ref="E148:F148" si="46">E147+1</f>
        <v>54</v>
      </c>
      <c r="F148" s="126">
        <f t="shared" si="46"/>
        <v>4</v>
      </c>
    </row>
    <row r="149" ht="15.75" customHeight="1">
      <c r="A149" s="161" t="s">
        <v>190</v>
      </c>
      <c r="B149" s="162">
        <v>0.02</v>
      </c>
      <c r="C149" s="163">
        <f t="shared" si="44"/>
        <v>0.97</v>
      </c>
      <c r="E149" s="126">
        <f t="shared" ref="E149:F149" si="47">E148+1</f>
        <v>55</v>
      </c>
      <c r="F149" s="126">
        <f t="shared" si="47"/>
        <v>5</v>
      </c>
    </row>
    <row r="150" ht="15.75" customHeight="1">
      <c r="A150" s="164" t="s">
        <v>191</v>
      </c>
      <c r="B150" s="165">
        <v>0.02</v>
      </c>
      <c r="C150" s="166">
        <f t="shared" si="44"/>
        <v>0.99</v>
      </c>
      <c r="E150" s="126">
        <f t="shared" ref="E150:F150" si="48">E149+1</f>
        <v>56</v>
      </c>
      <c r="F150" s="126">
        <f t="shared" si="48"/>
        <v>6</v>
      </c>
    </row>
    <row r="151" ht="15.75" customHeight="1">
      <c r="A151" s="161" t="s">
        <v>192</v>
      </c>
      <c r="B151" s="163">
        <v>0.01</v>
      </c>
      <c r="C151" s="163">
        <f t="shared" si="44"/>
        <v>1</v>
      </c>
      <c r="E151" s="126">
        <f t="shared" ref="E151:F151" si="49">E150+1</f>
        <v>57</v>
      </c>
      <c r="F151" s="126">
        <f t="shared" si="49"/>
        <v>7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11">
    <mergeCell ref="G49:H49"/>
    <mergeCell ref="G60:H60"/>
    <mergeCell ref="G65:H65"/>
    <mergeCell ref="G70:H70"/>
    <mergeCell ref="G77:H77"/>
    <mergeCell ref="G1:H1"/>
    <mergeCell ref="G9:H9"/>
    <mergeCell ref="G17:H17"/>
    <mergeCell ref="G24:H24"/>
    <mergeCell ref="G34:H34"/>
    <mergeCell ref="G40:H40"/>
  </mergeCells>
  <drawing r:id="rId2"/>
  <legacyDrawing r:id="rId3"/>
</worksheet>
</file>