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V0Su9XuKbJmG9oWWHSy44wNNAIx6gu8634LfWacJ0F4="/>
    </ext>
  </extLst>
</workbook>
</file>

<file path=xl/sharedStrings.xml><?xml version="1.0" encoding="utf-8"?>
<sst xmlns="http://schemas.openxmlformats.org/spreadsheetml/2006/main" count="224" uniqueCount="186">
  <si>
    <t>tarea pendientes (220)</t>
  </si>
  <si>
    <t>horas pendientes (945)</t>
  </si>
  <si>
    <t>tarea</t>
  </si>
  <si>
    <t>esfuerzo</t>
  </si>
  <si>
    <t>Diseñar interfaz inicio sesión</t>
  </si>
  <si>
    <t>Redireccion a inicio de sesión</t>
  </si>
  <si>
    <t>Comprobar cuenta existente</t>
  </si>
  <si>
    <t>Crear formulario inicar sesión</t>
  </si>
  <si>
    <t>Evitar campos vacios</t>
  </si>
  <si>
    <t>Evitar error de inicio de sesión</t>
  </si>
  <si>
    <t>Crear formulario de subida</t>
  </si>
  <si>
    <t>Comprobar formato de documento</t>
  </si>
  <si>
    <t>Evitar error de subida</t>
  </si>
  <si>
    <t>Comprobar documento subido</t>
  </si>
  <si>
    <t>Mensaje documento subido</t>
  </si>
  <si>
    <t>Crear lista categoria</t>
  </si>
  <si>
    <t>Crear formulario de gestion documento</t>
  </si>
  <si>
    <t>Actualizar categoria documento</t>
  </si>
  <si>
    <t>Comprobar categiria guardada</t>
  </si>
  <si>
    <t>Evitar error categoria</t>
  </si>
  <si>
    <t>Implementar formulario de busqueda</t>
  </si>
  <si>
    <t>Conectar con backend</t>
  </si>
  <si>
    <t>Implementar funcion de busqueda</t>
  </si>
  <si>
    <t>Mostrar resultados de busqueda</t>
  </si>
  <si>
    <t>Mostrar paginacion / scroll</t>
  </si>
  <si>
    <t>Comprobar permisos</t>
  </si>
  <si>
    <t>Evitar error de buscador de documentos</t>
  </si>
  <si>
    <t>Implementar boton de descarga</t>
  </si>
  <si>
    <t>implemetnar logica de descarga</t>
  </si>
  <si>
    <t>mensaje de descarga</t>
  </si>
  <si>
    <t>Evirtar error descarga</t>
  </si>
  <si>
    <t>Implementar formulario de registro</t>
  </si>
  <si>
    <t>Comprobar datos</t>
  </si>
  <si>
    <t>Comprobar correo existente</t>
  </si>
  <si>
    <t>Guardar datos</t>
  </si>
  <si>
    <t>Mensaje de usuario registrado</t>
  </si>
  <si>
    <t>Evitar error de registro</t>
  </si>
  <si>
    <t>Implementar formulario de recuperacion</t>
  </si>
  <si>
    <t>Generar codigo recuperacion</t>
  </si>
  <si>
    <t>Enviar codigo recuperacion</t>
  </si>
  <si>
    <t>Diseñar interfaz de cambio de contraseña</t>
  </si>
  <si>
    <t>Validacion de codigo recuperacion</t>
  </si>
  <si>
    <t>Actualizar contraseña</t>
  </si>
  <si>
    <t>Confirmar cambio contraseña</t>
  </si>
  <si>
    <t>Evitar error de recuperacion de contraseña</t>
  </si>
  <si>
    <t>Implementar boton de visualizar</t>
  </si>
  <si>
    <t>Funcion de visualizacion</t>
  </si>
  <si>
    <t>Evitar error de visualizacion</t>
  </si>
  <si>
    <t>Comprobar formato</t>
  </si>
  <si>
    <t>Evitar error de validar</t>
  </si>
  <si>
    <t>Reintento de validar</t>
  </si>
  <si>
    <t>Registro ultima accion del usuario</t>
  </si>
  <si>
    <t>Definir tiempo maximo</t>
  </si>
  <si>
    <t>Cerrar sesion automatico</t>
  </si>
  <si>
    <t>Redirigir a inicio sesión</t>
  </si>
  <si>
    <t>Evitar error al cerrar sesión</t>
  </si>
  <si>
    <t>mostrar grafico en tiempo real</t>
  </si>
  <si>
    <t>generar grafico de estadisticas</t>
  </si>
  <si>
    <t>recalcular y actualizar grafico</t>
  </si>
  <si>
    <t>Evitar error al generar grafico</t>
  </si>
  <si>
    <t>Diseñar diagrama de secuencia</t>
  </si>
  <si>
    <t>Diseñar interfaz</t>
  </si>
  <si>
    <t>Implementar filtros</t>
  </si>
  <si>
    <t>Conectar datos</t>
  </si>
  <si>
    <t>Validación</t>
  </si>
  <si>
    <t>Diseñar vista para reportes de satisfaccion</t>
  </si>
  <si>
    <t>Implementar filtros de categoria o programa</t>
  </si>
  <si>
    <t>Calcular porcentaje de satisfechos e insatisfechos</t>
  </si>
  <si>
    <t>Generar graficos</t>
  </si>
  <si>
    <t>Diseñar formulario para eliminar documentos</t>
  </si>
  <si>
    <t>Implementar boton que permita eliminar documentos</t>
  </si>
  <si>
    <t>Solicitar confirmacion antes de eliminar</t>
  </si>
  <si>
    <t>Actualizar y mostrar confirmacion</t>
  </si>
  <si>
    <t>Crear vista de reporte con puntaje</t>
  </si>
  <si>
    <t>Crear opcion de ordenar ascendente o descendente</t>
  </si>
  <si>
    <t>Calculo de totales y promedios por programa</t>
  </si>
  <si>
    <t>Validar presicion de calculo de puntajes</t>
  </si>
  <si>
    <t>Diseñar menu principal</t>
  </si>
  <si>
    <t>Implementar navegacion entre carpetas y areas</t>
  </si>
  <si>
    <t>Validar carga de contenidos al acceder a secciones</t>
  </si>
  <si>
    <t>Pruebas de usabilidad</t>
  </si>
  <si>
    <t>Interfaz de reportes</t>
  </si>
  <si>
    <t>Filtros de agrupacion por programa y periodo</t>
  </si>
  <si>
    <t>Mostrar resultados de tabla y grafico</t>
  </si>
  <si>
    <t>Diseñar diagrma de secuencia</t>
  </si>
  <si>
    <t>Diseñar interfaz del módulo</t>
  </si>
  <si>
    <t>Programar elementos</t>
  </si>
  <si>
    <t>Actualizar tabla</t>
  </si>
  <si>
    <t>Mostrar resultados en tabla</t>
  </si>
  <si>
    <t>Validaciones y manejo de errores</t>
  </si>
  <si>
    <t>Diseñar interfaz de gráficos</t>
  </si>
  <si>
    <t>Programar los gráficos</t>
  </si>
  <si>
    <t>Actualizar los gráficos</t>
  </si>
  <si>
    <t>Evitar error de gráficos</t>
  </si>
  <si>
    <t>Diseñar interfaz de exportación</t>
  </si>
  <si>
    <t>Programar exportación</t>
  </si>
  <si>
    <t>validación exportación</t>
  </si>
  <si>
    <t>Evitar error de exportacion</t>
  </si>
  <si>
    <t>Programar reporte</t>
  </si>
  <si>
    <t>Implementar validación</t>
  </si>
  <si>
    <t>Generación de la tabla de resultados</t>
  </si>
  <si>
    <t>Evitar error de reporte</t>
  </si>
  <si>
    <t>Diseñar interface de existencias</t>
  </si>
  <si>
    <t>Programar existencias</t>
  </si>
  <si>
    <t>Actualizacion de datos</t>
  </si>
  <si>
    <t>Graficar tabla</t>
  </si>
  <si>
    <t>Evitar error de existencia</t>
  </si>
  <si>
    <t>Diseñar formulario de auditorias</t>
  </si>
  <si>
    <t>Mostrar opciones de existencias por NNA</t>
  </si>
  <si>
    <t>Calcular puntaje por disponibilidad</t>
  </si>
  <si>
    <t>Implementar guardado de respuestas</t>
  </si>
  <si>
    <t>Evitar error de encuesta</t>
  </si>
  <si>
    <t>Diseñar formulario de etiquetado</t>
  </si>
  <si>
    <t>Programar etiquetado</t>
  </si>
  <si>
    <t>Comprobar etiquetas repetida</t>
  </si>
  <si>
    <t>Evitar error de etiqueta</t>
  </si>
  <si>
    <t>Evitando error de rol</t>
  </si>
  <si>
    <t>Diseñar la interfaz de favoritos</t>
  </si>
  <si>
    <t>Progrmar favoritos</t>
  </si>
  <si>
    <t>Visualización de favoritos</t>
  </si>
  <si>
    <t>Evitar error de etiquetado</t>
  </si>
  <si>
    <t>Diseño diagrama de secuencia</t>
  </si>
  <si>
    <t>Diseño de intrefaz de opción</t>
  </si>
  <si>
    <t>link generado</t>
  </si>
  <si>
    <t>Implementar confirmación</t>
  </si>
  <si>
    <t>Evitar error de enlace</t>
  </si>
  <si>
    <t>Diseñar sección de comentarios</t>
  </si>
  <si>
    <t>Programar registro</t>
  </si>
  <si>
    <t>Validar comentario</t>
  </si>
  <si>
    <t>Visualizacion de comentarios</t>
  </si>
  <si>
    <t>Evitar error de comentario</t>
  </si>
  <si>
    <t>Diseñar interfaz de reporte con opcion de ordenamiento por puntaje</t>
  </si>
  <si>
    <t>Implementar logica de ordenamiento (mayor/menor)</t>
  </si>
  <si>
    <t>Conectar datos de encuestas al modulo de reportes</t>
  </si>
  <si>
    <t>Validar resultados del filtro</t>
  </si>
  <si>
    <t>Diseñar diagrama  de secuencia</t>
  </si>
  <si>
    <t>Diseñar componente</t>
  </si>
  <si>
    <t>Progamar logica</t>
  </si>
  <si>
    <t>Generacion de reporte</t>
  </si>
  <si>
    <t>Evitar error de actualización</t>
  </si>
  <si>
    <t>Crear opcion para archivar documento</t>
  </si>
  <si>
    <t>Programar movimiento de documento a archivado</t>
  </si>
  <si>
    <t>Implementar confirmacion de archivado</t>
  </si>
  <si>
    <t>Evitar error de archivado</t>
  </si>
  <si>
    <t>Evitar  error de papelera</t>
  </si>
  <si>
    <t>Analizar documentos subidos</t>
  </si>
  <si>
    <t>Diseñar alerta de duplicados</t>
  </si>
  <si>
    <t>Programar ofrecimiento de opciones</t>
  </si>
  <si>
    <t>Programar eleccion del usuario</t>
  </si>
  <si>
    <t>Evitar error de duplicado</t>
  </si>
  <si>
    <t>Implementar opcion de ordenamiento en la lista de documentos</t>
  </si>
  <si>
    <t>Programar logica para ordenar segun criterio</t>
  </si>
  <si>
    <t>Mostrar resultados tras aplicar orden</t>
  </si>
  <si>
    <t>Validar persistencia de criterio en la sesion activa</t>
  </si>
  <si>
    <t>Evitar error de ordenamiento</t>
  </si>
  <si>
    <t>Agregar opcion de prioridad en lista de documentos</t>
  </si>
  <si>
    <t>Implementar actualizacion de prioridad</t>
  </si>
  <si>
    <t>Resaltar visualmente documentos prioritarios</t>
  </si>
  <si>
    <t>Validar control de acceso</t>
  </si>
  <si>
    <t>Implementar zona para arrastrar y soltar</t>
  </si>
  <si>
    <t>Deteccion de archivos arrastrados</t>
  </si>
  <si>
    <t>Vista previa del archivo cargado</t>
  </si>
  <si>
    <t>Programar subida automatica tras confirmacion</t>
  </si>
  <si>
    <t>Implementar logica de asignacion multiple</t>
  </si>
  <si>
    <t>Comprobar visualizacion de etiquetas</t>
  </si>
  <si>
    <t>Comprobar etiquetas nuevas y duplicadas</t>
  </si>
  <si>
    <t>Opción para restaurar</t>
  </si>
  <si>
    <t>Programar restauración</t>
  </si>
  <si>
    <t>Confirmación de restauración</t>
  </si>
  <si>
    <t>Evitar error de restauración</t>
  </si>
  <si>
    <t>Opción "Ver Detalles"</t>
  </si>
  <si>
    <t>Programar panel de detalles</t>
  </si>
  <si>
    <t>Obtención de metadatos</t>
  </si>
  <si>
    <t>Navegación en detalles</t>
  </si>
  <si>
    <t>Cierre panel detalles</t>
  </si>
  <si>
    <t>Crear boton para archivos adicionales</t>
  </si>
  <si>
    <t>Programar validacion de archivos adicionales</t>
  </si>
  <si>
    <t>Implementar vinculo con documento principal</t>
  </si>
  <si>
    <t>Probar que las evidencias se guarden y muestren</t>
  </si>
  <si>
    <t>Habilitar campo editable</t>
  </si>
  <si>
    <t>Programar validación</t>
  </si>
  <si>
    <t>Mostrar actualización</t>
  </si>
  <si>
    <t>Comprobar cambio de nombre</t>
  </si>
  <si>
    <t>Diseñar panel de enlaces externos</t>
  </si>
  <si>
    <t>Guardar enlaces asociados al documento</t>
  </si>
  <si>
    <t>Comprobar enlaces externos almacenados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</si>
</sst>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/>
    <font>
      <color theme="1"/>
      <name val="Arial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666666"/>
        <bgColor rgb="FF666666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/>
      <top/>
      <bottom/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2" fillId="0" fontId="1" numFmtId="164" xfId="0" applyBorder="1" applyFont="1" applyNumberFormat="1"/>
    <xf borderId="1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2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2" numFmtId="0" xfId="0" applyFont="1"/>
    <xf borderId="2" fillId="0" fontId="3" numFmtId="0" xfId="0" applyBorder="1" applyFont="1"/>
    <xf borderId="7" fillId="2" fontId="1" numFmtId="0" xfId="0" applyAlignment="1" applyBorder="1" applyFill="1" applyFont="1">
      <alignment horizontal="center"/>
    </xf>
    <xf borderId="8" fillId="2" fontId="1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7" fillId="3" fontId="1" numFmtId="0" xfId="0" applyAlignment="1" applyBorder="1" applyFill="1" applyFont="1">
      <alignment shrinkToFit="0" wrapText="1"/>
    </xf>
    <xf borderId="11" fillId="4" fontId="1" numFmtId="0" xfId="0" applyBorder="1" applyFill="1" applyFont="1"/>
    <xf borderId="12" fillId="3" fontId="1" numFmtId="0" xfId="0" applyAlignment="1" applyBorder="1" applyFont="1">
      <alignment shrinkToFit="0" wrapText="1"/>
    </xf>
    <xf borderId="13" fillId="4" fontId="1" numFmtId="0" xfId="0" applyBorder="1" applyFont="1"/>
    <xf borderId="14" fillId="4" fontId="1" numFmtId="0" xfId="0" applyBorder="1" applyFont="1"/>
    <xf borderId="7" fillId="5" fontId="1" numFmtId="0" xfId="0" applyAlignment="1" applyBorder="1" applyFill="1" applyFont="1">
      <alignment shrinkToFit="0" wrapText="1"/>
    </xf>
    <xf borderId="15" fillId="4" fontId="1" numFmtId="0" xfId="0" applyBorder="1" applyFont="1"/>
    <xf borderId="12" fillId="5" fontId="1" numFmtId="0" xfId="0" applyAlignment="1" applyBorder="1" applyFont="1">
      <alignment shrinkToFit="0" wrapText="1"/>
    </xf>
    <xf borderId="7" fillId="6" fontId="1" numFmtId="0" xfId="0" applyAlignment="1" applyBorder="1" applyFill="1" applyFont="1">
      <alignment shrinkToFit="0" wrapText="1"/>
    </xf>
    <xf borderId="12" fillId="6" fontId="1" numFmtId="0" xfId="0" applyAlignment="1" applyBorder="1" applyFont="1">
      <alignment shrinkToFit="0" wrapText="1"/>
    </xf>
    <xf borderId="7" fillId="7" fontId="1" numFmtId="0" xfId="0" applyAlignment="1" applyBorder="1" applyFill="1" applyFont="1">
      <alignment shrinkToFit="0" wrapText="1"/>
    </xf>
    <xf borderId="12" fillId="7" fontId="1" numFmtId="0" xfId="0" applyAlignment="1" applyBorder="1" applyFont="1">
      <alignment shrinkToFit="0" wrapText="1"/>
    </xf>
    <xf borderId="16" fillId="8" fontId="1" numFmtId="0" xfId="0" applyAlignment="1" applyBorder="1" applyFill="1" applyFont="1">
      <alignment shrinkToFit="0" wrapText="1"/>
    </xf>
    <xf borderId="17" fillId="8" fontId="1" numFmtId="0" xfId="0" applyAlignment="1" applyBorder="1" applyFont="1">
      <alignment shrinkToFit="0" wrapText="1"/>
    </xf>
    <xf borderId="7" fillId="9" fontId="1" numFmtId="0" xfId="0" applyAlignment="1" applyBorder="1" applyFill="1" applyFont="1">
      <alignment shrinkToFit="0" wrapText="1"/>
    </xf>
    <xf borderId="12" fillId="9" fontId="1" numFmtId="0" xfId="0" applyAlignment="1" applyBorder="1" applyFont="1">
      <alignment shrinkToFit="0" wrapText="1"/>
    </xf>
    <xf borderId="7" fillId="10" fontId="1" numFmtId="0" xfId="0" applyAlignment="1" applyBorder="1" applyFill="1" applyFont="1">
      <alignment shrinkToFit="0" wrapText="1"/>
    </xf>
    <xf borderId="12" fillId="10" fontId="1" numFmtId="0" xfId="0" applyAlignment="1" applyBorder="1" applyFont="1">
      <alignment shrinkToFit="0" wrapText="1"/>
    </xf>
    <xf borderId="16" fillId="11" fontId="1" numFmtId="0" xfId="0" applyAlignment="1" applyBorder="1" applyFill="1" applyFont="1">
      <alignment shrinkToFit="0" wrapText="1"/>
    </xf>
    <xf borderId="17" fillId="11" fontId="1" numFmtId="0" xfId="0" applyAlignment="1" applyBorder="1" applyFont="1">
      <alignment shrinkToFit="0" wrapText="1"/>
    </xf>
    <xf borderId="7" fillId="12" fontId="1" numFmtId="0" xfId="0" applyAlignment="1" applyBorder="1" applyFill="1" applyFont="1">
      <alignment shrinkToFit="0" wrapText="1"/>
    </xf>
    <xf borderId="12" fillId="12" fontId="1" numFmtId="0" xfId="0" applyAlignment="1" applyBorder="1" applyFont="1">
      <alignment shrinkToFit="0" wrapText="1"/>
    </xf>
    <xf borderId="7" fillId="8" fontId="1" numFmtId="0" xfId="0" applyAlignment="1" applyBorder="1" applyFont="1">
      <alignment shrinkToFit="0" wrapText="1"/>
    </xf>
    <xf borderId="12" fillId="8" fontId="1" numFmtId="0" xfId="0" applyAlignment="1" applyBorder="1" applyFont="1">
      <alignment shrinkToFit="0" wrapText="1"/>
    </xf>
    <xf borderId="18" fillId="0" fontId="4" numFmtId="0" xfId="0" applyBorder="1" applyFont="1"/>
    <xf borderId="19" fillId="8" fontId="1" numFmtId="0" xfId="0" applyAlignment="1" applyBorder="1" applyFont="1">
      <alignment shrinkToFit="0" wrapText="1"/>
    </xf>
    <xf borderId="20" fillId="4" fontId="1" numFmtId="0" xfId="0" applyBorder="1" applyFont="1"/>
    <xf borderId="21" fillId="4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16" fillId="13" fontId="1" numFmtId="0" xfId="0" applyAlignment="1" applyBorder="1" applyFill="1" applyFont="1">
      <alignment shrinkToFit="0" wrapText="1"/>
    </xf>
    <xf borderId="16" fillId="4" fontId="1" numFmtId="0" xfId="0" applyBorder="1" applyFont="1"/>
    <xf borderId="17" fillId="13" fontId="1" numFmtId="0" xfId="0" applyAlignment="1" applyBorder="1" applyFont="1">
      <alignment shrinkToFit="0" wrapText="1"/>
    </xf>
    <xf borderId="17" fillId="4" fontId="1" numFmtId="0" xfId="0" applyBorder="1" applyFont="1"/>
    <xf borderId="24" fillId="13" fontId="1" numFmtId="0" xfId="0" applyAlignment="1" applyBorder="1" applyFont="1">
      <alignment shrinkToFit="0" wrapText="1"/>
    </xf>
    <xf borderId="24" fillId="4" fontId="1" numFmtId="0" xfId="0" applyBorder="1" applyFont="1"/>
    <xf borderId="25" fillId="14" fontId="1" numFmtId="0" xfId="0" applyBorder="1" applyFill="1" applyFont="1"/>
    <xf borderId="0" fillId="4" fontId="1" numFmtId="0" xfId="0" applyFont="1"/>
    <xf borderId="2" fillId="4" fontId="1" numFmtId="0" xfId="0" applyBorder="1" applyFont="1"/>
    <xf borderId="12" fillId="14" fontId="1" numFmtId="0" xfId="0" applyBorder="1" applyFont="1"/>
    <xf borderId="19" fillId="14" fontId="1" numFmtId="0" xfId="0" applyBorder="1" applyFont="1"/>
    <xf borderId="22" fillId="4" fontId="1" numFmtId="0" xfId="0" applyBorder="1" applyFont="1"/>
    <xf borderId="23" fillId="4" fontId="1" numFmtId="0" xfId="0" applyBorder="1" applyFont="1"/>
    <xf borderId="26" fillId="15" fontId="1" numFmtId="0" xfId="0" applyBorder="1" applyFill="1" applyFont="1"/>
    <xf borderId="17" fillId="15" fontId="1" numFmtId="0" xfId="0" applyBorder="1" applyFont="1"/>
    <xf borderId="24" fillId="15" fontId="1" numFmtId="0" xfId="0" applyBorder="1" applyFont="1"/>
    <xf borderId="26" fillId="16" fontId="1" numFmtId="0" xfId="0" applyBorder="1" applyFill="1" applyFont="1"/>
    <xf borderId="17" fillId="16" fontId="1" numFmtId="0" xfId="0" applyBorder="1" applyFont="1"/>
    <xf borderId="24" fillId="16" fontId="1" numFmtId="0" xfId="0" applyBorder="1" applyFont="1"/>
    <xf borderId="26" fillId="17" fontId="1" numFmtId="0" xfId="0" applyBorder="1" applyFill="1" applyFont="1"/>
    <xf borderId="17" fillId="17" fontId="1" numFmtId="0" xfId="0" applyBorder="1" applyFont="1"/>
    <xf borderId="24" fillId="17" fontId="1" numFmtId="0" xfId="0" applyBorder="1" applyFont="1"/>
    <xf borderId="26" fillId="13" fontId="1" numFmtId="0" xfId="0" applyBorder="1" applyFont="1"/>
    <xf borderId="17" fillId="13" fontId="1" numFmtId="0" xfId="0" applyBorder="1" applyFont="1"/>
    <xf borderId="24" fillId="13" fontId="1" numFmtId="0" xfId="0" applyBorder="1" applyFont="1"/>
    <xf borderId="26" fillId="18" fontId="1" numFmtId="0" xfId="0" applyBorder="1" applyFill="1" applyFont="1"/>
    <xf borderId="17" fillId="18" fontId="1" numFmtId="0" xfId="0" applyBorder="1" applyFont="1"/>
    <xf borderId="24" fillId="18" fontId="1" numFmtId="0" xfId="0" applyBorder="1" applyFont="1"/>
    <xf borderId="26" fillId="9" fontId="1" numFmtId="0" xfId="0" applyBorder="1" applyFont="1"/>
    <xf borderId="17" fillId="9" fontId="1" numFmtId="0" xfId="0" applyBorder="1" applyFont="1"/>
    <xf borderId="24" fillId="9" fontId="1" numFmtId="0" xfId="0" applyBorder="1" applyFont="1"/>
    <xf borderId="26" fillId="19" fontId="1" numFmtId="0" xfId="0" applyBorder="1" applyFill="1" applyFont="1"/>
    <xf borderId="17" fillId="19" fontId="1" numFmtId="0" xfId="0" applyBorder="1" applyFont="1"/>
    <xf borderId="24" fillId="19" fontId="1" numFmtId="0" xfId="0" applyBorder="1" applyFont="1"/>
    <xf borderId="26" fillId="20" fontId="1" numFmtId="0" xfId="0" applyBorder="1" applyFill="1" applyFont="1"/>
    <xf borderId="17" fillId="20" fontId="1" numFmtId="0" xfId="0" applyBorder="1" applyFont="1"/>
    <xf borderId="24" fillId="20" fontId="1" numFmtId="0" xfId="0" applyBorder="1" applyFont="1"/>
    <xf borderId="26" fillId="21" fontId="1" numFmtId="0" xfId="0" applyBorder="1" applyFill="1" applyFont="1"/>
    <xf borderId="17" fillId="21" fontId="1" numFmtId="0" xfId="0" applyBorder="1" applyFont="1"/>
    <xf borderId="24" fillId="21" fontId="1" numFmtId="0" xfId="0" applyBorder="1" applyFont="1"/>
    <xf borderId="18" fillId="0" fontId="5" numFmtId="0" xfId="0" applyBorder="1" applyFont="1"/>
    <xf borderId="2" fillId="13" fontId="4" numFmtId="0" xfId="0" applyAlignment="1" applyBorder="1" applyFont="1">
      <alignment vertical="bottom"/>
    </xf>
    <xf borderId="0" fillId="4" fontId="1" numFmtId="0" xfId="0" applyAlignment="1" applyFont="1">
      <alignment readingOrder="0"/>
    </xf>
    <xf borderId="23" fillId="13" fontId="4" numFmtId="0" xfId="0" applyAlignment="1" applyBorder="1" applyFont="1">
      <alignment vertical="bottom"/>
    </xf>
    <xf borderId="22" fillId="4" fontId="1" numFmtId="0" xfId="0" applyAlignment="1" applyBorder="1" applyFont="1">
      <alignment readingOrder="0"/>
    </xf>
    <xf borderId="2" fillId="20" fontId="4" numFmtId="0" xfId="0" applyAlignment="1" applyBorder="1" applyFont="1">
      <alignment vertical="bottom"/>
    </xf>
    <xf borderId="23" fillId="20" fontId="4" numFmtId="0" xfId="0" applyAlignment="1" applyBorder="1" applyFont="1">
      <alignment vertical="bottom"/>
    </xf>
    <xf borderId="16" fillId="17" fontId="1" numFmtId="0" xfId="0" applyBorder="1" applyFont="1"/>
    <xf borderId="3" fillId="4" fontId="1" numFmtId="0" xfId="0" applyBorder="1" applyFont="1"/>
    <xf borderId="4" fillId="4" fontId="1" numFmtId="0" xfId="0" applyBorder="1" applyFont="1"/>
    <xf borderId="2" fillId="14" fontId="4" numFmtId="0" xfId="0" applyAlignment="1" applyBorder="1" applyFont="1">
      <alignment horizontal="right" vertical="bottom"/>
    </xf>
    <xf borderId="0" fillId="0" fontId="4" numFmtId="0" xfId="0" applyFont="1"/>
    <xf borderId="2" fillId="15" fontId="4" numFmtId="0" xfId="0" applyAlignment="1" applyBorder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" fillId="17" fontId="4" numFmtId="0" xfId="0" applyAlignment="1" applyBorder="1" applyFont="1">
      <alignment horizontal="right" vertical="bottom"/>
    </xf>
    <xf borderId="2" fillId="13" fontId="4" numFmtId="0" xfId="0" applyAlignment="1" applyBorder="1" applyFont="1">
      <alignment horizontal="right" vertical="bottom"/>
    </xf>
    <xf borderId="2" fillId="18" fontId="4" numFmtId="0" xfId="0" applyAlignment="1" applyBorder="1" applyFont="1">
      <alignment horizontal="right" vertical="bottom"/>
    </xf>
    <xf borderId="2" fillId="9" fontId="4" numFmtId="0" xfId="0" applyAlignment="1" applyBorder="1" applyFont="1">
      <alignment horizontal="right" vertical="bottom"/>
    </xf>
    <xf borderId="2" fillId="19" fontId="4" numFmtId="0" xfId="0" applyAlignment="1" applyBorder="1" applyFont="1">
      <alignment horizontal="right" vertical="bottom"/>
    </xf>
    <xf borderId="2" fillId="20" fontId="4" numFmtId="0" xfId="0" applyAlignment="1" applyBorder="1" applyFont="1">
      <alignment horizontal="right" vertical="bottom"/>
    </xf>
    <xf borderId="0" fillId="22" fontId="4" numFmtId="0" xfId="0" applyAlignment="1" applyFill="1" applyFont="1">
      <alignment vertical="bottom"/>
    </xf>
    <xf borderId="2" fillId="21" fontId="4" numFmtId="0" xfId="0" applyAlignment="1" applyBorder="1" applyFont="1">
      <alignment horizontal="right" vertical="bottom"/>
    </xf>
    <xf borderId="23" fillId="21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38"/>
    <col customWidth="1" min="2" max="35" width="7.25"/>
    <col customWidth="1" min="36" max="36" width="7.5"/>
    <col customWidth="1" min="37" max="37" width="8.13"/>
    <col customWidth="1" min="38" max="62" width="7.63"/>
  </cols>
  <sheetData>
    <row r="1" ht="15.75" customHeight="1">
      <c r="A1" s="1"/>
      <c r="B1" s="2">
        <v>45795.0</v>
      </c>
      <c r="C1" s="2">
        <f t="shared" ref="C1:AC1" si="1">B1+1</f>
        <v>45796</v>
      </c>
      <c r="D1" s="2">
        <f t="shared" si="1"/>
        <v>45797</v>
      </c>
      <c r="E1" s="2">
        <f t="shared" si="1"/>
        <v>45798</v>
      </c>
      <c r="F1" s="2">
        <f t="shared" si="1"/>
        <v>45799</v>
      </c>
      <c r="G1" s="2">
        <f t="shared" si="1"/>
        <v>45800</v>
      </c>
      <c r="H1" s="2">
        <f t="shared" si="1"/>
        <v>45801</v>
      </c>
      <c r="I1" s="2">
        <f t="shared" si="1"/>
        <v>45802</v>
      </c>
      <c r="J1" s="2">
        <f t="shared" si="1"/>
        <v>45803</v>
      </c>
      <c r="K1" s="2">
        <f t="shared" si="1"/>
        <v>45804</v>
      </c>
      <c r="L1" s="2">
        <f t="shared" si="1"/>
        <v>45805</v>
      </c>
      <c r="M1" s="2">
        <f t="shared" si="1"/>
        <v>45806</v>
      </c>
      <c r="N1" s="2">
        <f t="shared" si="1"/>
        <v>45807</v>
      </c>
      <c r="O1" s="2">
        <f t="shared" si="1"/>
        <v>45808</v>
      </c>
      <c r="P1" s="2">
        <f t="shared" si="1"/>
        <v>45809</v>
      </c>
      <c r="Q1" s="2">
        <f t="shared" si="1"/>
        <v>45810</v>
      </c>
      <c r="R1" s="2">
        <f t="shared" si="1"/>
        <v>45811</v>
      </c>
      <c r="S1" s="2">
        <f t="shared" si="1"/>
        <v>45812</v>
      </c>
      <c r="T1" s="2">
        <f t="shared" si="1"/>
        <v>45813</v>
      </c>
      <c r="U1" s="2">
        <f t="shared" si="1"/>
        <v>45814</v>
      </c>
      <c r="V1" s="2">
        <f t="shared" si="1"/>
        <v>45815</v>
      </c>
      <c r="W1" s="2">
        <f t="shared" si="1"/>
        <v>45816</v>
      </c>
      <c r="X1" s="2">
        <f t="shared" si="1"/>
        <v>45817</v>
      </c>
      <c r="Y1" s="2">
        <f t="shared" si="1"/>
        <v>45818</v>
      </c>
      <c r="Z1" s="2">
        <f t="shared" si="1"/>
        <v>45819</v>
      </c>
      <c r="AA1" s="2">
        <f t="shared" si="1"/>
        <v>45820</v>
      </c>
      <c r="AB1" s="2">
        <f t="shared" si="1"/>
        <v>45821</v>
      </c>
      <c r="AC1" s="3">
        <f t="shared" si="1"/>
        <v>45822</v>
      </c>
      <c r="AD1" s="2">
        <v>45901.0</v>
      </c>
      <c r="AE1" s="2">
        <f t="shared" ref="AE1:BJ1" si="2">AD1+1</f>
        <v>45902</v>
      </c>
      <c r="AF1" s="2">
        <f t="shared" si="2"/>
        <v>45903</v>
      </c>
      <c r="AG1" s="2">
        <f t="shared" si="2"/>
        <v>45904</v>
      </c>
      <c r="AH1" s="2">
        <f t="shared" si="2"/>
        <v>45905</v>
      </c>
      <c r="AI1" s="2">
        <f t="shared" si="2"/>
        <v>45906</v>
      </c>
      <c r="AJ1" s="2">
        <f t="shared" si="2"/>
        <v>45907</v>
      </c>
      <c r="AK1" s="2">
        <f t="shared" si="2"/>
        <v>45908</v>
      </c>
      <c r="AL1" s="2">
        <f t="shared" si="2"/>
        <v>45909</v>
      </c>
      <c r="AM1" s="2">
        <f t="shared" si="2"/>
        <v>45910</v>
      </c>
      <c r="AN1" s="2">
        <f t="shared" si="2"/>
        <v>45911</v>
      </c>
      <c r="AO1" s="2">
        <f t="shared" si="2"/>
        <v>45912</v>
      </c>
      <c r="AP1" s="2">
        <f t="shared" si="2"/>
        <v>45913</v>
      </c>
      <c r="AQ1" s="2">
        <f t="shared" si="2"/>
        <v>45914</v>
      </c>
      <c r="AR1" s="2">
        <f t="shared" si="2"/>
        <v>45915</v>
      </c>
      <c r="AS1" s="2">
        <f t="shared" si="2"/>
        <v>45916</v>
      </c>
      <c r="AT1" s="2">
        <f t="shared" si="2"/>
        <v>45917</v>
      </c>
      <c r="AU1" s="2">
        <f t="shared" si="2"/>
        <v>45918</v>
      </c>
      <c r="AV1" s="2">
        <f t="shared" si="2"/>
        <v>45919</v>
      </c>
      <c r="AW1" s="2">
        <f t="shared" si="2"/>
        <v>45920</v>
      </c>
      <c r="AX1" s="2">
        <f t="shared" si="2"/>
        <v>45921</v>
      </c>
      <c r="AY1" s="2">
        <f t="shared" si="2"/>
        <v>45922</v>
      </c>
      <c r="AZ1" s="2">
        <f t="shared" si="2"/>
        <v>45923</v>
      </c>
      <c r="BA1" s="2">
        <f t="shared" si="2"/>
        <v>45924</v>
      </c>
      <c r="BB1" s="2">
        <f t="shared" si="2"/>
        <v>45925</v>
      </c>
      <c r="BC1" s="2">
        <f t="shared" si="2"/>
        <v>45926</v>
      </c>
      <c r="BD1" s="2">
        <f t="shared" si="2"/>
        <v>45927</v>
      </c>
      <c r="BE1" s="2">
        <f t="shared" si="2"/>
        <v>45928</v>
      </c>
      <c r="BF1" s="2">
        <f t="shared" si="2"/>
        <v>45929</v>
      </c>
      <c r="BG1" s="2">
        <f t="shared" si="2"/>
        <v>45930</v>
      </c>
      <c r="BH1" s="2">
        <f t="shared" si="2"/>
        <v>45931</v>
      </c>
      <c r="BI1" s="2">
        <f t="shared" si="2"/>
        <v>45932</v>
      </c>
      <c r="BJ1" s="3">
        <f t="shared" si="2"/>
        <v>45933</v>
      </c>
      <c r="BK1" s="2"/>
    </row>
    <row r="2" ht="15.75" customHeight="1">
      <c r="A2" s="4" t="s">
        <v>0</v>
      </c>
      <c r="B2" s="5">
        <f>220-2</f>
        <v>218</v>
      </c>
      <c r="C2" s="5">
        <f>B2-4</f>
        <v>214</v>
      </c>
      <c r="D2" s="5">
        <f t="shared" ref="D2:E2" si="3">C2-3</f>
        <v>211</v>
      </c>
      <c r="E2" s="5">
        <f t="shared" si="3"/>
        <v>208</v>
      </c>
      <c r="F2" s="5">
        <f>E2-2</f>
        <v>206</v>
      </c>
      <c r="G2" s="5">
        <f>F2-3</f>
        <v>203</v>
      </c>
      <c r="H2" s="5">
        <f t="shared" ref="H2:I2" si="4">G2-4</f>
        <v>199</v>
      </c>
      <c r="I2" s="5">
        <f t="shared" si="4"/>
        <v>195</v>
      </c>
      <c r="J2" s="5">
        <f>I2-2</f>
        <v>193</v>
      </c>
      <c r="K2" s="5">
        <f>J2-5</f>
        <v>188</v>
      </c>
      <c r="L2" s="5">
        <f t="shared" ref="L2:M2" si="5">K2-1</f>
        <v>187</v>
      </c>
      <c r="M2" s="5">
        <f t="shared" si="5"/>
        <v>186</v>
      </c>
      <c r="N2" s="5">
        <f t="shared" ref="N2:O2" si="6">M2-2</f>
        <v>184</v>
      </c>
      <c r="O2" s="5">
        <f t="shared" si="6"/>
        <v>182</v>
      </c>
      <c r="P2" s="5">
        <f t="shared" ref="P2:Q2" si="7">O2-3</f>
        <v>179</v>
      </c>
      <c r="Q2" s="5">
        <f t="shared" si="7"/>
        <v>176</v>
      </c>
      <c r="R2" s="5">
        <f>Q2-0</f>
        <v>176</v>
      </c>
      <c r="S2" s="5">
        <f>R2-1</f>
        <v>175</v>
      </c>
      <c r="T2" s="5">
        <f>S2-0</f>
        <v>175</v>
      </c>
      <c r="U2" s="5">
        <f>T2-2</f>
        <v>173</v>
      </c>
      <c r="V2" s="5">
        <f>U2-0</f>
        <v>173</v>
      </c>
      <c r="W2" s="5">
        <f>V2-1</f>
        <v>172</v>
      </c>
      <c r="X2" s="5">
        <f>W2-3</f>
        <v>169</v>
      </c>
      <c r="Y2" s="5">
        <f>X2-1</f>
        <v>168</v>
      </c>
      <c r="Z2" s="5">
        <f t="shared" ref="Z2:AA2" si="8">Y2-2</f>
        <v>166</v>
      </c>
      <c r="AA2" s="5">
        <f t="shared" si="8"/>
        <v>164</v>
      </c>
      <c r="AB2" s="5">
        <f>AA2-0</f>
        <v>164</v>
      </c>
      <c r="AC2" s="6">
        <f>AB2-4</f>
        <v>160</v>
      </c>
      <c r="AD2" s="7">
        <v>1.0</v>
      </c>
      <c r="AE2" s="7">
        <v>2.0</v>
      </c>
      <c r="AF2" s="7">
        <v>3.0</v>
      </c>
      <c r="AG2" s="7">
        <v>4.0</v>
      </c>
      <c r="AH2" s="7">
        <v>5.0</v>
      </c>
      <c r="AI2" s="7">
        <v>6.0</v>
      </c>
      <c r="AJ2" s="7">
        <v>7.0</v>
      </c>
      <c r="AK2" s="7">
        <v>8.0</v>
      </c>
      <c r="AL2" s="7">
        <v>9.0</v>
      </c>
      <c r="AM2" s="7">
        <v>10.0</v>
      </c>
      <c r="AN2" s="7">
        <v>11.0</v>
      </c>
      <c r="AO2" s="7">
        <v>12.0</v>
      </c>
      <c r="AP2" s="7">
        <v>13.0</v>
      </c>
      <c r="AQ2" s="7">
        <v>14.0</v>
      </c>
      <c r="AR2" s="7">
        <v>15.0</v>
      </c>
      <c r="AS2" s="7">
        <v>16.0</v>
      </c>
      <c r="AT2" s="7">
        <v>17.0</v>
      </c>
      <c r="AU2" s="7">
        <v>18.0</v>
      </c>
      <c r="AV2" s="7">
        <v>19.0</v>
      </c>
      <c r="AW2" s="7">
        <v>20.0</v>
      </c>
      <c r="AX2" s="7">
        <v>21.0</v>
      </c>
      <c r="AY2" s="7">
        <v>22.0</v>
      </c>
      <c r="AZ2" s="7">
        <v>23.0</v>
      </c>
      <c r="BA2" s="7">
        <v>24.0</v>
      </c>
      <c r="BB2" s="7">
        <v>25.0</v>
      </c>
      <c r="BC2" s="7">
        <v>26.0</v>
      </c>
      <c r="BD2" s="7">
        <v>27.0</v>
      </c>
      <c r="BE2" s="7">
        <v>28.0</v>
      </c>
      <c r="BF2" s="7">
        <v>29.0</v>
      </c>
      <c r="BG2" s="7">
        <v>30.0</v>
      </c>
      <c r="BH2" s="7">
        <v>31.0</v>
      </c>
      <c r="BI2" s="7">
        <v>32.0</v>
      </c>
      <c r="BJ2" s="8">
        <v>33.0</v>
      </c>
      <c r="BK2" s="7"/>
      <c r="BL2" s="7"/>
    </row>
    <row r="3" ht="15.75" customHeight="1">
      <c r="A3" s="4" t="s">
        <v>1</v>
      </c>
      <c r="B3" s="9">
        <f>(SUM(B6:BJ225))-(SUM(B6:B225))</f>
        <v>941</v>
      </c>
      <c r="C3" s="9">
        <f t="shared" ref="C3:BJ3" si="9">B3-(SUM(C6:C225))</f>
        <v>934</v>
      </c>
      <c r="D3" s="9">
        <f t="shared" si="9"/>
        <v>927</v>
      </c>
      <c r="E3" s="9">
        <f t="shared" si="9"/>
        <v>924</v>
      </c>
      <c r="F3" s="9">
        <f t="shared" si="9"/>
        <v>918</v>
      </c>
      <c r="G3" s="9">
        <f t="shared" si="9"/>
        <v>911</v>
      </c>
      <c r="H3" s="9">
        <f t="shared" si="9"/>
        <v>902</v>
      </c>
      <c r="I3" s="9">
        <f t="shared" si="9"/>
        <v>895</v>
      </c>
      <c r="J3" s="9">
        <f t="shared" si="9"/>
        <v>891</v>
      </c>
      <c r="K3" s="9">
        <f t="shared" si="9"/>
        <v>882</v>
      </c>
      <c r="L3" s="9">
        <f t="shared" si="9"/>
        <v>881</v>
      </c>
      <c r="M3" s="9">
        <f t="shared" si="9"/>
        <v>880</v>
      </c>
      <c r="N3" s="9">
        <f t="shared" si="9"/>
        <v>878</v>
      </c>
      <c r="O3" s="9">
        <f t="shared" si="9"/>
        <v>876</v>
      </c>
      <c r="P3" s="9">
        <f t="shared" si="9"/>
        <v>868</v>
      </c>
      <c r="Q3" s="9">
        <f t="shared" si="9"/>
        <v>864</v>
      </c>
      <c r="R3" s="9">
        <f t="shared" si="9"/>
        <v>863.8</v>
      </c>
      <c r="S3" s="9">
        <f t="shared" si="9"/>
        <v>863</v>
      </c>
      <c r="T3" s="9">
        <f t="shared" si="9"/>
        <v>859.7</v>
      </c>
      <c r="U3" s="9">
        <f t="shared" si="9"/>
        <v>858</v>
      </c>
      <c r="V3" s="9">
        <f t="shared" si="9"/>
        <v>857</v>
      </c>
      <c r="W3" s="9">
        <f t="shared" si="9"/>
        <v>853</v>
      </c>
      <c r="X3" s="9">
        <f t="shared" si="9"/>
        <v>850</v>
      </c>
      <c r="Y3" s="9">
        <f t="shared" si="9"/>
        <v>847</v>
      </c>
      <c r="Z3" s="9">
        <f t="shared" si="9"/>
        <v>845</v>
      </c>
      <c r="AA3" s="9">
        <f t="shared" si="9"/>
        <v>841</v>
      </c>
      <c r="AB3" s="9">
        <f t="shared" si="9"/>
        <v>840</v>
      </c>
      <c r="AC3" s="9">
        <f t="shared" si="9"/>
        <v>836</v>
      </c>
      <c r="AD3" s="9">
        <f t="shared" si="9"/>
        <v>791</v>
      </c>
      <c r="AE3" s="9">
        <f t="shared" si="9"/>
        <v>749</v>
      </c>
      <c r="AF3" s="9">
        <f t="shared" si="9"/>
        <v>717</v>
      </c>
      <c r="AG3" s="9">
        <f t="shared" si="9"/>
        <v>690</v>
      </c>
      <c r="AH3" s="9">
        <f t="shared" si="9"/>
        <v>617</v>
      </c>
      <c r="AI3" s="9">
        <f t="shared" si="9"/>
        <v>541</v>
      </c>
      <c r="AJ3" s="9">
        <f t="shared" si="9"/>
        <v>493</v>
      </c>
      <c r="AK3" s="9">
        <f t="shared" si="9"/>
        <v>443</v>
      </c>
      <c r="AL3" s="9">
        <f t="shared" si="9"/>
        <v>380</v>
      </c>
      <c r="AM3" s="9">
        <f t="shared" si="9"/>
        <v>334</v>
      </c>
      <c r="AN3" s="9">
        <f t="shared" si="9"/>
        <v>281</v>
      </c>
      <c r="AO3" s="9">
        <f t="shared" si="9"/>
        <v>226</v>
      </c>
      <c r="AP3" s="9">
        <f t="shared" si="9"/>
        <v>188</v>
      </c>
      <c r="AQ3" s="9">
        <f t="shared" si="9"/>
        <v>171</v>
      </c>
      <c r="AR3" s="9">
        <f t="shared" si="9"/>
        <v>153</v>
      </c>
      <c r="AS3" s="9">
        <f t="shared" si="9"/>
        <v>132</v>
      </c>
      <c r="AT3" s="9">
        <f t="shared" si="9"/>
        <v>100</v>
      </c>
      <c r="AU3" s="9">
        <f t="shared" si="9"/>
        <v>71</v>
      </c>
      <c r="AV3" s="9">
        <f t="shared" si="9"/>
        <v>46</v>
      </c>
      <c r="AW3" s="9">
        <f t="shared" si="9"/>
        <v>37</v>
      </c>
      <c r="AX3" s="9">
        <f t="shared" si="9"/>
        <v>33</v>
      </c>
      <c r="AY3" s="9">
        <f t="shared" si="9"/>
        <v>32</v>
      </c>
      <c r="AZ3" s="9">
        <f t="shared" si="9"/>
        <v>31</v>
      </c>
      <c r="BA3" s="9">
        <f t="shared" si="9"/>
        <v>27</v>
      </c>
      <c r="BB3" s="9">
        <f t="shared" si="9"/>
        <v>18</v>
      </c>
      <c r="BC3" s="9">
        <f t="shared" si="9"/>
        <v>16</v>
      </c>
      <c r="BD3" s="9">
        <f t="shared" si="9"/>
        <v>13</v>
      </c>
      <c r="BE3" s="9">
        <f t="shared" si="9"/>
        <v>12</v>
      </c>
      <c r="BF3" s="9">
        <f t="shared" si="9"/>
        <v>12</v>
      </c>
      <c r="BG3" s="9">
        <f t="shared" si="9"/>
        <v>8</v>
      </c>
      <c r="BH3" s="9">
        <f t="shared" si="9"/>
        <v>5</v>
      </c>
      <c r="BI3" s="9">
        <f t="shared" si="9"/>
        <v>4</v>
      </c>
      <c r="BJ3" s="10">
        <f t="shared" si="9"/>
        <v>0</v>
      </c>
    </row>
    <row r="4" ht="15.75" customHeight="1">
      <c r="A4" s="11"/>
      <c r="BJ4" s="12"/>
    </row>
    <row r="5" ht="15.75" customHeight="1">
      <c r="A5" s="13" t="s">
        <v>2</v>
      </c>
      <c r="B5" s="14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6"/>
    </row>
    <row r="6" ht="15.75" customHeight="1">
      <c r="A6" s="17" t="s">
        <v>4</v>
      </c>
      <c r="B6" s="18">
        <v>2.0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0.0</v>
      </c>
      <c r="AC6" s="6">
        <v>0.0</v>
      </c>
      <c r="AD6" s="5">
        <v>0.0</v>
      </c>
      <c r="AE6" s="5">
        <v>0.0</v>
      </c>
      <c r="AF6" s="5">
        <v>0.0</v>
      </c>
      <c r="AG6" s="5">
        <v>0.0</v>
      </c>
      <c r="AH6" s="5">
        <v>0.0</v>
      </c>
      <c r="AI6" s="5">
        <v>0.0</v>
      </c>
      <c r="AJ6" s="5">
        <v>0.0</v>
      </c>
      <c r="AK6" s="5">
        <v>0.0</v>
      </c>
      <c r="AL6" s="5">
        <v>0.0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S6" s="5">
        <v>0.0</v>
      </c>
      <c r="AT6" s="5">
        <v>0.0</v>
      </c>
      <c r="AU6" s="5">
        <v>0.0</v>
      </c>
      <c r="AV6" s="5">
        <v>0.0</v>
      </c>
      <c r="AW6" s="5">
        <v>0.0</v>
      </c>
      <c r="AX6" s="5">
        <v>0.0</v>
      </c>
      <c r="AY6" s="5">
        <v>0.0</v>
      </c>
      <c r="AZ6" s="5">
        <v>0.0</v>
      </c>
      <c r="BA6" s="5">
        <v>0.0</v>
      </c>
      <c r="BB6" s="5">
        <v>0.0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0.0</v>
      </c>
      <c r="BI6" s="5">
        <v>0.0</v>
      </c>
      <c r="BJ6" s="6">
        <v>0.0</v>
      </c>
    </row>
    <row r="7" ht="15.75" customHeight="1">
      <c r="A7" s="19" t="s">
        <v>5</v>
      </c>
      <c r="B7" s="20">
        <v>2.0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8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8">
        <v>0.0</v>
      </c>
    </row>
    <row r="8" ht="15.75" customHeight="1">
      <c r="A8" s="19" t="s">
        <v>6</v>
      </c>
      <c r="B8" s="20">
        <v>0.0</v>
      </c>
      <c r="C8" s="21">
        <v>3.0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8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8">
        <v>0.0</v>
      </c>
    </row>
    <row r="9" ht="15.75" customHeight="1">
      <c r="A9" s="19" t="s">
        <v>7</v>
      </c>
      <c r="B9" s="20">
        <v>0.0</v>
      </c>
      <c r="C9" s="21">
        <v>2.0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8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8">
        <v>0.0</v>
      </c>
    </row>
    <row r="10" ht="15.75" customHeight="1">
      <c r="A10" s="19" t="s">
        <v>8</v>
      </c>
      <c r="B10" s="20">
        <v>0.0</v>
      </c>
      <c r="C10" s="21">
        <v>1.0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8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8">
        <v>0.0</v>
      </c>
    </row>
    <row r="11" ht="15.75" customHeight="1">
      <c r="A11" s="19" t="s">
        <v>9</v>
      </c>
      <c r="B11" s="20">
        <v>0.0</v>
      </c>
      <c r="C11" s="21">
        <v>1.0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8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8">
        <v>0.0</v>
      </c>
    </row>
    <row r="12" ht="15.75" customHeight="1">
      <c r="A12" s="22" t="s">
        <v>10</v>
      </c>
      <c r="B12" s="18">
        <v>0.0</v>
      </c>
      <c r="C12" s="23">
        <v>0.0</v>
      </c>
      <c r="D12" s="23">
        <v>2.0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  <c r="AB12" s="5">
        <v>0.0</v>
      </c>
      <c r="AC12" s="6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0.0</v>
      </c>
      <c r="AI12" s="5">
        <v>0.0</v>
      </c>
      <c r="AJ12" s="5">
        <v>0.0</v>
      </c>
      <c r="AK12" s="5">
        <v>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0.0</v>
      </c>
      <c r="BB12" s="5">
        <v>0.0</v>
      </c>
      <c r="BC12" s="5">
        <v>0.0</v>
      </c>
      <c r="BD12" s="5">
        <v>0.0</v>
      </c>
      <c r="BE12" s="5">
        <v>0.0</v>
      </c>
      <c r="BF12" s="5">
        <v>0.0</v>
      </c>
      <c r="BG12" s="5">
        <v>0.0</v>
      </c>
      <c r="BH12" s="5">
        <v>0.0</v>
      </c>
      <c r="BI12" s="5">
        <v>0.0</v>
      </c>
      <c r="BJ12" s="6">
        <v>0.0</v>
      </c>
    </row>
    <row r="13" ht="15.75" customHeight="1">
      <c r="A13" s="24" t="s">
        <v>8</v>
      </c>
      <c r="B13" s="20">
        <v>0.0</v>
      </c>
      <c r="C13" s="21">
        <v>0.0</v>
      </c>
      <c r="D13" s="21">
        <v>1.0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8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8">
        <v>0.0</v>
      </c>
    </row>
    <row r="14" ht="15.75" customHeight="1">
      <c r="A14" s="24" t="s">
        <v>11</v>
      </c>
      <c r="B14" s="20">
        <v>0.0</v>
      </c>
      <c r="C14" s="21">
        <v>0.0</v>
      </c>
      <c r="D14" s="21">
        <v>4.0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8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8">
        <v>0.0</v>
      </c>
    </row>
    <row r="15" ht="15.75" customHeight="1">
      <c r="A15" s="24" t="s">
        <v>12</v>
      </c>
      <c r="B15" s="20">
        <v>0.0</v>
      </c>
      <c r="C15" s="21">
        <v>0.0</v>
      </c>
      <c r="D15" s="21">
        <v>0.0</v>
      </c>
      <c r="E15" s="21">
        <v>1.0</v>
      </c>
      <c r="F15" s="7">
        <v>0.0</v>
      </c>
      <c r="G15" s="7">
        <v>0.0</v>
      </c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8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8">
        <v>0.0</v>
      </c>
    </row>
    <row r="16" ht="15.75" customHeight="1">
      <c r="A16" s="24" t="s">
        <v>13</v>
      </c>
      <c r="B16" s="20">
        <v>0.0</v>
      </c>
      <c r="C16" s="21">
        <v>0.0</v>
      </c>
      <c r="D16" s="21">
        <v>0.0</v>
      </c>
      <c r="E16" s="21">
        <v>1.0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8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8">
        <v>0.0</v>
      </c>
    </row>
    <row r="17" ht="15.75" customHeight="1">
      <c r="A17" s="24" t="s">
        <v>14</v>
      </c>
      <c r="B17" s="20">
        <v>0.0</v>
      </c>
      <c r="C17" s="21">
        <v>0.0</v>
      </c>
      <c r="D17" s="21">
        <v>0.0</v>
      </c>
      <c r="E17" s="21">
        <v>1.0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7">
        <v>0.0</v>
      </c>
      <c r="M17" s="7">
        <v>0.0</v>
      </c>
      <c r="N17" s="7">
        <v>0.0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8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8">
        <v>0.0</v>
      </c>
    </row>
    <row r="18" ht="15.75" customHeight="1">
      <c r="A18" s="25" t="s">
        <v>15</v>
      </c>
      <c r="B18" s="18">
        <v>0.0</v>
      </c>
      <c r="C18" s="23">
        <v>0.0</v>
      </c>
      <c r="D18" s="23">
        <v>0.0</v>
      </c>
      <c r="E18" s="23">
        <v>0.0</v>
      </c>
      <c r="F18" s="23">
        <v>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6">
        <v>0.0</v>
      </c>
      <c r="AD18" s="5">
        <v>0.0</v>
      </c>
      <c r="AE18" s="5">
        <v>0.0</v>
      </c>
      <c r="AF18" s="5">
        <v>0.0</v>
      </c>
      <c r="AG18" s="5">
        <v>0.0</v>
      </c>
      <c r="AH18" s="5">
        <v>0.0</v>
      </c>
      <c r="AI18" s="5">
        <v>0.0</v>
      </c>
      <c r="AJ18" s="5">
        <v>0.0</v>
      </c>
      <c r="AK18" s="5">
        <v>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0.0</v>
      </c>
      <c r="AS18" s="5">
        <v>0.0</v>
      </c>
      <c r="AT18" s="5">
        <v>0.0</v>
      </c>
      <c r="AU18" s="5">
        <v>0.0</v>
      </c>
      <c r="AV18" s="5">
        <v>0.0</v>
      </c>
      <c r="AW18" s="5">
        <v>0.0</v>
      </c>
      <c r="AX18" s="5">
        <v>0.0</v>
      </c>
      <c r="AY18" s="5">
        <v>0.0</v>
      </c>
      <c r="AZ18" s="5">
        <v>0.0</v>
      </c>
      <c r="BA18" s="5">
        <v>0.0</v>
      </c>
      <c r="BB18" s="5">
        <v>0.0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H18" s="5">
        <v>0.0</v>
      </c>
      <c r="BI18" s="5">
        <v>0.0</v>
      </c>
      <c r="BJ18" s="6">
        <v>0.0</v>
      </c>
    </row>
    <row r="19" ht="15.75" customHeight="1">
      <c r="A19" s="26" t="s">
        <v>16</v>
      </c>
      <c r="B19" s="20">
        <v>0.0</v>
      </c>
      <c r="C19" s="21">
        <v>0.0</v>
      </c>
      <c r="D19" s="21">
        <v>0.0</v>
      </c>
      <c r="E19" s="21">
        <v>0.0</v>
      </c>
      <c r="F19" s="21">
        <v>3.0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8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8">
        <v>0.0</v>
      </c>
    </row>
    <row r="20" ht="15.75" customHeight="1">
      <c r="A20" s="26" t="s">
        <v>17</v>
      </c>
      <c r="B20" s="20">
        <v>0.0</v>
      </c>
      <c r="C20" s="21">
        <v>0.0</v>
      </c>
      <c r="D20" s="21">
        <v>0.0</v>
      </c>
      <c r="E20" s="21">
        <v>0.0</v>
      </c>
      <c r="F20" s="21">
        <v>0.0</v>
      </c>
      <c r="G20" s="21">
        <v>4.0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8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8">
        <v>0.0</v>
      </c>
    </row>
    <row r="21" ht="15.75" customHeight="1">
      <c r="A21" s="26" t="s">
        <v>18</v>
      </c>
      <c r="B21" s="20">
        <v>0.0</v>
      </c>
      <c r="C21" s="21">
        <v>0.0</v>
      </c>
      <c r="D21" s="21">
        <v>0.0</v>
      </c>
      <c r="E21" s="21">
        <v>0.0</v>
      </c>
      <c r="F21" s="21">
        <v>0.0</v>
      </c>
      <c r="G21" s="21">
        <v>2.0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8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8">
        <v>0.0</v>
      </c>
    </row>
    <row r="22" ht="15.75" customHeight="1">
      <c r="A22" s="26" t="s">
        <v>19</v>
      </c>
      <c r="B22" s="20">
        <v>0.0</v>
      </c>
      <c r="C22" s="21">
        <v>0.0</v>
      </c>
      <c r="D22" s="21">
        <v>0.0</v>
      </c>
      <c r="E22" s="21">
        <v>0.0</v>
      </c>
      <c r="F22" s="21">
        <v>0.0</v>
      </c>
      <c r="G22" s="21">
        <v>1.0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8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8">
        <v>0.0</v>
      </c>
    </row>
    <row r="23" ht="15.75" customHeight="1">
      <c r="A23" s="27" t="s">
        <v>20</v>
      </c>
      <c r="B23" s="18">
        <v>0.0</v>
      </c>
      <c r="C23" s="23">
        <v>0.0</v>
      </c>
      <c r="D23" s="23">
        <v>0.0</v>
      </c>
      <c r="E23" s="23">
        <v>0.0</v>
      </c>
      <c r="F23" s="23">
        <v>0.0</v>
      </c>
      <c r="G23" s="23">
        <v>0.0</v>
      </c>
      <c r="H23" s="23">
        <v>2.0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6">
        <v>0.0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H23" s="5">
        <v>0.0</v>
      </c>
      <c r="BI23" s="5">
        <v>0.0</v>
      </c>
      <c r="BJ23" s="6">
        <v>0.0</v>
      </c>
    </row>
    <row r="24" ht="15.75" customHeight="1">
      <c r="A24" s="28" t="s">
        <v>21</v>
      </c>
      <c r="B24" s="20">
        <v>0.0</v>
      </c>
      <c r="C24" s="21">
        <v>0.0</v>
      </c>
      <c r="D24" s="21">
        <v>0.0</v>
      </c>
      <c r="E24" s="21">
        <v>0.0</v>
      </c>
      <c r="F24" s="21">
        <v>0.0</v>
      </c>
      <c r="G24" s="21">
        <v>0.0</v>
      </c>
      <c r="H24" s="21">
        <v>1.0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8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8">
        <v>0.0</v>
      </c>
    </row>
    <row r="25" ht="15.75" customHeight="1">
      <c r="A25" s="28" t="s">
        <v>22</v>
      </c>
      <c r="B25" s="20">
        <v>0.0</v>
      </c>
      <c r="C25" s="21">
        <v>0.0</v>
      </c>
      <c r="D25" s="21">
        <v>0.0</v>
      </c>
      <c r="E25" s="21">
        <v>0.0</v>
      </c>
      <c r="F25" s="21">
        <v>0.0</v>
      </c>
      <c r="G25" s="21">
        <v>0.0</v>
      </c>
      <c r="H25" s="21">
        <v>3.0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8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8">
        <v>0.0</v>
      </c>
    </row>
    <row r="26" ht="15.75" customHeight="1">
      <c r="A26" s="28" t="s">
        <v>23</v>
      </c>
      <c r="B26" s="20">
        <v>0.0</v>
      </c>
      <c r="C26" s="21">
        <v>0.0</v>
      </c>
      <c r="D26" s="21">
        <v>0.0</v>
      </c>
      <c r="E26" s="21">
        <v>0.0</v>
      </c>
      <c r="F26" s="21">
        <v>0.0</v>
      </c>
      <c r="G26" s="21">
        <v>0.0</v>
      </c>
      <c r="H26" s="21">
        <v>3.0</v>
      </c>
      <c r="I26" s="7">
        <v>0.0</v>
      </c>
      <c r="J26" s="7">
        <v>0.0</v>
      </c>
      <c r="K26" s="7">
        <v>0.0</v>
      </c>
      <c r="L26" s="7">
        <v>0.0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8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8">
        <v>0.0</v>
      </c>
    </row>
    <row r="27" ht="15.75" customHeight="1">
      <c r="A27" s="28" t="s">
        <v>24</v>
      </c>
      <c r="B27" s="20">
        <v>0.0</v>
      </c>
      <c r="C27" s="21">
        <v>0.0</v>
      </c>
      <c r="D27" s="21">
        <v>0.0</v>
      </c>
      <c r="E27" s="21">
        <v>0.0</v>
      </c>
      <c r="F27" s="21">
        <v>0.0</v>
      </c>
      <c r="G27" s="21">
        <v>0.0</v>
      </c>
      <c r="H27" s="21">
        <v>0.0</v>
      </c>
      <c r="I27" s="21">
        <v>2.0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8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8">
        <v>0.0</v>
      </c>
    </row>
    <row r="28" ht="15.75" customHeight="1">
      <c r="A28" s="28" t="s">
        <v>25</v>
      </c>
      <c r="B28" s="20">
        <v>0.0</v>
      </c>
      <c r="C28" s="21">
        <v>0.0</v>
      </c>
      <c r="D28" s="21">
        <v>0.0</v>
      </c>
      <c r="E28" s="21">
        <v>0.0</v>
      </c>
      <c r="F28" s="21">
        <v>0.0</v>
      </c>
      <c r="G28" s="21">
        <v>0.0</v>
      </c>
      <c r="H28" s="21">
        <v>0.0</v>
      </c>
      <c r="I28" s="21">
        <v>2.0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8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8">
        <v>0.0</v>
      </c>
    </row>
    <row r="29" ht="15.75" customHeight="1">
      <c r="A29" s="28" t="s">
        <v>8</v>
      </c>
      <c r="B29" s="20">
        <v>0.0</v>
      </c>
      <c r="C29" s="21">
        <v>0.0</v>
      </c>
      <c r="D29" s="21">
        <v>0.0</v>
      </c>
      <c r="E29" s="21">
        <v>0.0</v>
      </c>
      <c r="F29" s="21">
        <v>0.0</v>
      </c>
      <c r="G29" s="21">
        <v>0.0</v>
      </c>
      <c r="H29" s="21">
        <v>0.0</v>
      </c>
      <c r="I29" s="21">
        <v>2.0</v>
      </c>
      <c r="J29" s="7">
        <v>0.0</v>
      </c>
      <c r="K29" s="7">
        <v>0.0</v>
      </c>
      <c r="L29" s="7">
        <v>0.0</v>
      </c>
      <c r="M29" s="7">
        <v>0.0</v>
      </c>
      <c r="N29" s="7">
        <v>0.0</v>
      </c>
      <c r="O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8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8">
        <v>0.0</v>
      </c>
    </row>
    <row r="30" ht="15.75" customHeight="1">
      <c r="A30" s="28" t="s">
        <v>26</v>
      </c>
      <c r="B30" s="20">
        <v>0.0</v>
      </c>
      <c r="C30" s="21">
        <v>0.0</v>
      </c>
      <c r="D30" s="21">
        <v>0.0</v>
      </c>
      <c r="E30" s="21">
        <v>0.0</v>
      </c>
      <c r="F30" s="21">
        <v>0.0</v>
      </c>
      <c r="G30" s="21">
        <v>0.0</v>
      </c>
      <c r="H30" s="21">
        <v>0.0</v>
      </c>
      <c r="I30" s="21">
        <v>1.0</v>
      </c>
      <c r="J30" s="7">
        <v>0.0</v>
      </c>
      <c r="K30" s="7">
        <v>0.0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8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8">
        <v>0.0</v>
      </c>
    </row>
    <row r="31" ht="15.75" customHeight="1">
      <c r="A31" s="29" t="s">
        <v>27</v>
      </c>
      <c r="B31" s="18">
        <v>0.0</v>
      </c>
      <c r="C31" s="23">
        <v>0.0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3">
        <v>0.0</v>
      </c>
      <c r="J31" s="23">
        <v>1.0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6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0.0</v>
      </c>
      <c r="BI31" s="5">
        <v>0.0</v>
      </c>
      <c r="BJ31" s="6">
        <v>0.0</v>
      </c>
    </row>
    <row r="32" ht="15.75" customHeight="1">
      <c r="A32" s="30" t="s">
        <v>28</v>
      </c>
      <c r="B32" s="20">
        <v>0.0</v>
      </c>
      <c r="C32" s="21">
        <v>0.0</v>
      </c>
      <c r="D32" s="21">
        <v>0.0</v>
      </c>
      <c r="E32" s="21">
        <v>0.0</v>
      </c>
      <c r="F32" s="21">
        <v>0.0</v>
      </c>
      <c r="G32" s="21">
        <v>0.0</v>
      </c>
      <c r="H32" s="21">
        <v>0.0</v>
      </c>
      <c r="I32" s="21">
        <v>0.0</v>
      </c>
      <c r="J32" s="21">
        <v>1.0</v>
      </c>
      <c r="K32" s="21">
        <v>1.0</v>
      </c>
      <c r="L32" s="7">
        <v>0.0</v>
      </c>
      <c r="M32" s="7">
        <v>0.0</v>
      </c>
      <c r="N32" s="7">
        <v>0.0</v>
      </c>
      <c r="O32" s="7">
        <v>0.0</v>
      </c>
      <c r="P32" s="7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8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8">
        <v>0.0</v>
      </c>
    </row>
    <row r="33" ht="15.75" customHeight="1">
      <c r="A33" s="30" t="s">
        <v>29</v>
      </c>
      <c r="B33" s="20">
        <v>0.0</v>
      </c>
      <c r="C33" s="21">
        <v>0.0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1.0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8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8">
        <v>0.0</v>
      </c>
    </row>
    <row r="34" ht="15.75" customHeight="1">
      <c r="A34" s="30" t="s">
        <v>30</v>
      </c>
      <c r="B34" s="20">
        <v>0.0</v>
      </c>
      <c r="C34" s="21">
        <v>0.0</v>
      </c>
      <c r="D34" s="21">
        <v>0.0</v>
      </c>
      <c r="E34" s="21">
        <v>0.0</v>
      </c>
      <c r="F34" s="21">
        <v>0.0</v>
      </c>
      <c r="G34" s="21">
        <v>0.0</v>
      </c>
      <c r="H34" s="21">
        <v>0.0</v>
      </c>
      <c r="I34" s="21">
        <v>0.0</v>
      </c>
      <c r="J34" s="21">
        <v>1.0</v>
      </c>
      <c r="K34" s="21">
        <v>1.0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8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8">
        <v>0.0</v>
      </c>
    </row>
    <row r="35" ht="15.75" customHeight="1">
      <c r="A35" s="31" t="s">
        <v>31</v>
      </c>
      <c r="B35" s="18">
        <v>0.0</v>
      </c>
      <c r="C35" s="23">
        <v>0.0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1.0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6">
        <v>0.0</v>
      </c>
      <c r="AD35" s="5">
        <v>0.0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0.0</v>
      </c>
      <c r="AZ35" s="5">
        <v>0.0</v>
      </c>
      <c r="BA35" s="5">
        <v>0.0</v>
      </c>
      <c r="BB35" s="5">
        <v>0.0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H35" s="5">
        <v>0.0</v>
      </c>
      <c r="BI35" s="5">
        <v>0.0</v>
      </c>
      <c r="BJ35" s="6">
        <v>0.0</v>
      </c>
    </row>
    <row r="36" ht="15.75" customHeight="1">
      <c r="A36" s="32" t="s">
        <v>32</v>
      </c>
      <c r="B36" s="20">
        <v>0.0</v>
      </c>
      <c r="C36" s="21">
        <v>0.0</v>
      </c>
      <c r="D36" s="21">
        <v>0.0</v>
      </c>
      <c r="E36" s="21">
        <v>0.0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3.0</v>
      </c>
      <c r="L36" s="7">
        <v>0.0</v>
      </c>
      <c r="M36" s="7">
        <v>0.0</v>
      </c>
      <c r="N36" s="7">
        <v>0.0</v>
      </c>
      <c r="O36" s="7">
        <v>0.0</v>
      </c>
      <c r="P36" s="7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8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8">
        <v>0.0</v>
      </c>
    </row>
    <row r="37" ht="15.75" customHeight="1">
      <c r="A37" s="32" t="s">
        <v>21</v>
      </c>
      <c r="B37" s="20">
        <v>0.0</v>
      </c>
      <c r="C37" s="21">
        <v>0.0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3.0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8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8">
        <v>0.0</v>
      </c>
    </row>
    <row r="38" ht="15.75" customHeight="1">
      <c r="A38" s="32" t="s">
        <v>33</v>
      </c>
      <c r="B38" s="20">
        <v>0.0</v>
      </c>
      <c r="C38" s="21">
        <v>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1.0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8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8">
        <v>0.0</v>
      </c>
    </row>
    <row r="39" ht="15.75" customHeight="1">
      <c r="A39" s="32" t="s">
        <v>34</v>
      </c>
      <c r="B39" s="20">
        <v>0.0</v>
      </c>
      <c r="C39" s="21">
        <v>0.0</v>
      </c>
      <c r="D39" s="21">
        <v>0.0</v>
      </c>
      <c r="E39" s="21">
        <v>0.0</v>
      </c>
      <c r="F39" s="21">
        <v>0.0</v>
      </c>
      <c r="G39" s="21">
        <v>0.0</v>
      </c>
      <c r="H39" s="21">
        <v>0.0</v>
      </c>
      <c r="I39" s="21">
        <v>0.0</v>
      </c>
      <c r="J39" s="21">
        <v>0.0</v>
      </c>
      <c r="K39" s="21">
        <v>0.0</v>
      </c>
      <c r="L39" s="21">
        <v>0.0</v>
      </c>
      <c r="M39" s="21">
        <v>1.0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8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8">
        <v>0.0</v>
      </c>
    </row>
    <row r="40" ht="15.75" customHeight="1">
      <c r="A40" s="32" t="s">
        <v>35</v>
      </c>
      <c r="B40" s="20">
        <v>0.0</v>
      </c>
      <c r="C40" s="21">
        <v>0.0</v>
      </c>
      <c r="D40" s="21">
        <v>0.0</v>
      </c>
      <c r="E40" s="21">
        <v>0.0</v>
      </c>
      <c r="F40" s="21">
        <v>0.0</v>
      </c>
      <c r="G40" s="21">
        <v>0.0</v>
      </c>
      <c r="H40" s="21">
        <v>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21">
        <v>1.0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8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8">
        <v>0.0</v>
      </c>
    </row>
    <row r="41" ht="15.75" customHeight="1">
      <c r="A41" s="32" t="s">
        <v>36</v>
      </c>
      <c r="B41" s="20">
        <v>0.0</v>
      </c>
      <c r="C41" s="21">
        <v>0.0</v>
      </c>
      <c r="D41" s="21">
        <v>0.0</v>
      </c>
      <c r="E41" s="21">
        <v>0.0</v>
      </c>
      <c r="F41" s="21">
        <v>0.0</v>
      </c>
      <c r="G41" s="21">
        <v>0.0</v>
      </c>
      <c r="H41" s="21">
        <v>0.0</v>
      </c>
      <c r="I41" s="21">
        <v>0.0</v>
      </c>
      <c r="J41" s="21">
        <v>0.0</v>
      </c>
      <c r="K41" s="21">
        <v>0.0</v>
      </c>
      <c r="L41" s="21">
        <v>0.0</v>
      </c>
      <c r="M41" s="21">
        <v>0.0</v>
      </c>
      <c r="N41" s="21">
        <v>1.0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8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8">
        <v>0.0</v>
      </c>
    </row>
    <row r="42" ht="15.75" customHeight="1">
      <c r="A42" s="33" t="s">
        <v>37</v>
      </c>
      <c r="B42" s="18">
        <v>0.0</v>
      </c>
      <c r="C42" s="23">
        <v>0.0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3">
        <v>0.0</v>
      </c>
      <c r="K42" s="23">
        <v>0.0</v>
      </c>
      <c r="L42" s="23">
        <v>0.0</v>
      </c>
      <c r="M42" s="23">
        <v>0.0</v>
      </c>
      <c r="N42" s="23">
        <v>0.0</v>
      </c>
      <c r="O42" s="23">
        <v>1.0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5">
        <v>0.0</v>
      </c>
      <c r="AA42" s="5">
        <v>0.0</v>
      </c>
      <c r="AB42" s="5">
        <v>0.0</v>
      </c>
      <c r="AC42" s="6">
        <v>0.0</v>
      </c>
      <c r="AD42" s="5">
        <v>0.0</v>
      </c>
      <c r="AE42" s="5">
        <v>0.0</v>
      </c>
      <c r="AF42" s="5">
        <v>0.0</v>
      </c>
      <c r="AG42" s="5">
        <v>0.0</v>
      </c>
      <c r="AH42" s="5">
        <v>0.0</v>
      </c>
      <c r="AI42" s="5">
        <v>0.0</v>
      </c>
      <c r="AJ42" s="5">
        <v>0.0</v>
      </c>
      <c r="AK42" s="5">
        <v>0.0</v>
      </c>
      <c r="AL42" s="5">
        <v>0.0</v>
      </c>
      <c r="AM42" s="5">
        <v>0.0</v>
      </c>
      <c r="AN42" s="5">
        <v>0.0</v>
      </c>
      <c r="AO42" s="5">
        <v>0.0</v>
      </c>
      <c r="AP42" s="5">
        <v>0.0</v>
      </c>
      <c r="AQ42" s="5">
        <v>0.0</v>
      </c>
      <c r="AR42" s="5">
        <v>0.0</v>
      </c>
      <c r="AS42" s="5">
        <v>0.0</v>
      </c>
      <c r="AT42" s="5">
        <v>0.0</v>
      </c>
      <c r="AU42" s="5">
        <v>0.0</v>
      </c>
      <c r="AV42" s="5">
        <v>0.0</v>
      </c>
      <c r="AW42" s="5">
        <v>0.0</v>
      </c>
      <c r="AX42" s="5">
        <v>0.0</v>
      </c>
      <c r="AY42" s="5">
        <v>0.0</v>
      </c>
      <c r="AZ42" s="5">
        <v>0.0</v>
      </c>
      <c r="BA42" s="5">
        <v>0.0</v>
      </c>
      <c r="BB42" s="5">
        <v>0.0</v>
      </c>
      <c r="BC42" s="5">
        <v>0.0</v>
      </c>
      <c r="BD42" s="5">
        <v>0.0</v>
      </c>
      <c r="BE42" s="5">
        <v>0.0</v>
      </c>
      <c r="BF42" s="5">
        <v>0.0</v>
      </c>
      <c r="BG42" s="5">
        <v>0.0</v>
      </c>
      <c r="BH42" s="5">
        <v>0.0</v>
      </c>
      <c r="BI42" s="5">
        <v>0.0</v>
      </c>
      <c r="BJ42" s="6">
        <v>0.0</v>
      </c>
    </row>
    <row r="43" ht="15.75" customHeight="1">
      <c r="A43" s="34" t="s">
        <v>33</v>
      </c>
      <c r="B43" s="20">
        <v>0.0</v>
      </c>
      <c r="C43" s="21">
        <v>0.0</v>
      </c>
      <c r="D43" s="21">
        <v>0.0</v>
      </c>
      <c r="E43" s="21">
        <v>0.0</v>
      </c>
      <c r="F43" s="21">
        <v>0.0</v>
      </c>
      <c r="G43" s="21">
        <v>0.0</v>
      </c>
      <c r="H43" s="21">
        <v>0.0</v>
      </c>
      <c r="I43" s="21">
        <v>0.0</v>
      </c>
      <c r="J43" s="21">
        <v>0.0</v>
      </c>
      <c r="K43" s="21">
        <v>0.0</v>
      </c>
      <c r="L43" s="21">
        <v>0.0</v>
      </c>
      <c r="M43" s="21">
        <v>0.0</v>
      </c>
      <c r="N43" s="21">
        <v>0.0</v>
      </c>
      <c r="O43" s="21">
        <v>1.0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8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8">
        <v>0.0</v>
      </c>
    </row>
    <row r="44" ht="15.75" customHeight="1">
      <c r="A44" s="34" t="s">
        <v>38</v>
      </c>
      <c r="B44" s="20">
        <v>0.0</v>
      </c>
      <c r="C44" s="21">
        <v>0.0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1">
        <v>0.0</v>
      </c>
      <c r="P44" s="21">
        <v>4.0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8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8">
        <v>0.0</v>
      </c>
    </row>
    <row r="45" ht="15.75" customHeight="1">
      <c r="A45" s="34" t="s">
        <v>39</v>
      </c>
      <c r="B45" s="20">
        <v>0.0</v>
      </c>
      <c r="C45" s="21">
        <v>0.0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0.0</v>
      </c>
      <c r="M45" s="21">
        <v>0.0</v>
      </c>
      <c r="N45" s="21">
        <v>0.0</v>
      </c>
      <c r="O45" s="21">
        <v>0.0</v>
      </c>
      <c r="P45" s="21">
        <v>3.0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8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8">
        <v>0.0</v>
      </c>
    </row>
    <row r="46" ht="15.75" customHeight="1">
      <c r="A46" s="34" t="s">
        <v>40</v>
      </c>
      <c r="B46" s="20">
        <v>0.0</v>
      </c>
      <c r="C46" s="21">
        <v>0.0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0.0</v>
      </c>
      <c r="M46" s="21">
        <v>0.0</v>
      </c>
      <c r="N46" s="21">
        <v>0.0</v>
      </c>
      <c r="O46" s="21">
        <v>0.0</v>
      </c>
      <c r="P46" s="21">
        <v>1.0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8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8">
        <v>0.0</v>
      </c>
    </row>
    <row r="47" ht="15.75" customHeight="1">
      <c r="A47" s="34" t="s">
        <v>41</v>
      </c>
      <c r="B47" s="20">
        <v>0.0</v>
      </c>
      <c r="C47" s="21">
        <v>0.0</v>
      </c>
      <c r="D47" s="21">
        <v>0.0</v>
      </c>
      <c r="E47" s="21">
        <v>0.0</v>
      </c>
      <c r="F47" s="21">
        <v>0.0</v>
      </c>
      <c r="G47" s="21">
        <v>0.0</v>
      </c>
      <c r="H47" s="21">
        <v>0.0</v>
      </c>
      <c r="I47" s="21">
        <v>0.0</v>
      </c>
      <c r="J47" s="21">
        <v>0.0</v>
      </c>
      <c r="K47" s="21">
        <v>0.0</v>
      </c>
      <c r="L47" s="21">
        <v>0.0</v>
      </c>
      <c r="M47" s="21">
        <v>0.0</v>
      </c>
      <c r="N47" s="21">
        <v>0.0</v>
      </c>
      <c r="O47" s="21">
        <v>0.0</v>
      </c>
      <c r="P47" s="21">
        <v>0.0</v>
      </c>
      <c r="Q47" s="21">
        <v>2.0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8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8">
        <v>0.0</v>
      </c>
    </row>
    <row r="48" ht="15.75" customHeight="1">
      <c r="A48" s="34" t="s">
        <v>42</v>
      </c>
      <c r="B48" s="20">
        <v>0.0</v>
      </c>
      <c r="C48" s="21">
        <v>0.0</v>
      </c>
      <c r="D48" s="21">
        <v>0.0</v>
      </c>
      <c r="E48" s="21">
        <v>0.0</v>
      </c>
      <c r="F48" s="21">
        <v>0.0</v>
      </c>
      <c r="G48" s="21">
        <v>0.0</v>
      </c>
      <c r="H48" s="21">
        <v>0.0</v>
      </c>
      <c r="I48" s="21">
        <v>0.0</v>
      </c>
      <c r="J48" s="21">
        <v>0.0</v>
      </c>
      <c r="K48" s="21">
        <v>0.0</v>
      </c>
      <c r="L48" s="21">
        <v>0.0</v>
      </c>
      <c r="M48" s="21">
        <v>0.0</v>
      </c>
      <c r="N48" s="21">
        <v>0.0</v>
      </c>
      <c r="O48" s="21">
        <v>0.0</v>
      </c>
      <c r="P48" s="21">
        <v>0.0</v>
      </c>
      <c r="Q48" s="21">
        <v>1.0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8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8">
        <v>0.0</v>
      </c>
    </row>
    <row r="49" ht="15.75" customHeight="1">
      <c r="A49" s="34" t="s">
        <v>43</v>
      </c>
      <c r="B49" s="20">
        <v>0.0</v>
      </c>
      <c r="C49" s="21">
        <v>0.0</v>
      </c>
      <c r="D49" s="21">
        <v>0.0</v>
      </c>
      <c r="E49" s="21">
        <v>0.0</v>
      </c>
      <c r="F49" s="21">
        <v>0.0</v>
      </c>
      <c r="G49" s="21">
        <v>0.0</v>
      </c>
      <c r="H49" s="21">
        <v>0.0</v>
      </c>
      <c r="I49" s="21">
        <v>0.0</v>
      </c>
      <c r="J49" s="21">
        <v>0.0</v>
      </c>
      <c r="K49" s="21">
        <v>0.0</v>
      </c>
      <c r="L49" s="21">
        <v>0.0</v>
      </c>
      <c r="M49" s="21">
        <v>0.0</v>
      </c>
      <c r="N49" s="21">
        <v>0.0</v>
      </c>
      <c r="O49" s="21">
        <v>0.0</v>
      </c>
      <c r="P49" s="21">
        <v>0.0</v>
      </c>
      <c r="Q49" s="21">
        <v>1.0</v>
      </c>
      <c r="R49" s="7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8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8">
        <v>0.0</v>
      </c>
    </row>
    <row r="50" ht="15.75" customHeight="1">
      <c r="A50" s="34" t="s">
        <v>44</v>
      </c>
      <c r="B50" s="20">
        <v>0.0</v>
      </c>
      <c r="C50" s="21">
        <v>0.0</v>
      </c>
      <c r="D50" s="21">
        <v>0.0</v>
      </c>
      <c r="E50" s="21">
        <v>0.0</v>
      </c>
      <c r="F50" s="21">
        <v>0.0</v>
      </c>
      <c r="G50" s="21">
        <v>0.0</v>
      </c>
      <c r="H50" s="21">
        <v>0.0</v>
      </c>
      <c r="I50" s="21">
        <v>0.0</v>
      </c>
      <c r="J50" s="21">
        <v>0.0</v>
      </c>
      <c r="K50" s="21">
        <v>0.0</v>
      </c>
      <c r="L50" s="21">
        <v>0.0</v>
      </c>
      <c r="M50" s="21">
        <v>0.0</v>
      </c>
      <c r="N50" s="21">
        <v>0.0</v>
      </c>
      <c r="O50" s="21">
        <v>0.0</v>
      </c>
      <c r="P50" s="21">
        <v>0.0</v>
      </c>
      <c r="Q50" s="21">
        <v>0.0</v>
      </c>
      <c r="R50" s="21">
        <v>0.2</v>
      </c>
      <c r="S50" s="21">
        <v>0.8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8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8">
        <v>0.0</v>
      </c>
    </row>
    <row r="51" ht="15.75" customHeight="1">
      <c r="A51" s="35" t="s">
        <v>45</v>
      </c>
      <c r="B51" s="18">
        <v>0.0</v>
      </c>
      <c r="C51" s="23">
        <v>0.0</v>
      </c>
      <c r="D51" s="23">
        <v>0.0</v>
      </c>
      <c r="E51" s="23">
        <v>0.0</v>
      </c>
      <c r="F51" s="23">
        <v>0.0</v>
      </c>
      <c r="G51" s="23">
        <v>0.0</v>
      </c>
      <c r="H51" s="23">
        <v>0.0</v>
      </c>
      <c r="I51" s="23">
        <v>0.0</v>
      </c>
      <c r="J51" s="23">
        <v>0.0</v>
      </c>
      <c r="K51" s="23">
        <v>0.0</v>
      </c>
      <c r="L51" s="23">
        <v>0.0</v>
      </c>
      <c r="M51" s="23">
        <v>0.0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3">
        <v>0.0</v>
      </c>
      <c r="T51" s="23">
        <v>1.3</v>
      </c>
      <c r="U51" s="23">
        <v>0.7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0.0</v>
      </c>
      <c r="AC51" s="6">
        <v>0.0</v>
      </c>
      <c r="AD51" s="5">
        <v>0.0</v>
      </c>
      <c r="AE51" s="5">
        <v>0.0</v>
      </c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S51" s="5">
        <v>0.0</v>
      </c>
      <c r="AT51" s="5">
        <v>0.0</v>
      </c>
      <c r="AU51" s="5">
        <v>0.0</v>
      </c>
      <c r="AV51" s="5">
        <v>0.0</v>
      </c>
      <c r="AW51" s="5">
        <v>0.0</v>
      </c>
      <c r="AX51" s="5">
        <v>0.0</v>
      </c>
      <c r="AY51" s="5">
        <v>0.0</v>
      </c>
      <c r="AZ51" s="5">
        <v>0.0</v>
      </c>
      <c r="BA51" s="5">
        <v>0.0</v>
      </c>
      <c r="BB51" s="5">
        <v>0.0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H51" s="5">
        <v>0.0</v>
      </c>
      <c r="BI51" s="5">
        <v>0.0</v>
      </c>
      <c r="BJ51" s="6">
        <v>0.0</v>
      </c>
    </row>
    <row r="52" ht="15.75" customHeight="1">
      <c r="A52" s="36" t="s">
        <v>46</v>
      </c>
      <c r="B52" s="20">
        <v>0.0</v>
      </c>
      <c r="C52" s="21">
        <v>0.0</v>
      </c>
      <c r="D52" s="21">
        <v>0.0</v>
      </c>
      <c r="E52" s="21">
        <v>0.0</v>
      </c>
      <c r="F52" s="21">
        <v>0.0</v>
      </c>
      <c r="G52" s="21">
        <v>0.0</v>
      </c>
      <c r="H52" s="21">
        <v>0.0</v>
      </c>
      <c r="I52" s="21">
        <v>0.0</v>
      </c>
      <c r="J52" s="21">
        <v>0.0</v>
      </c>
      <c r="K52" s="21">
        <v>0.0</v>
      </c>
      <c r="L52" s="21">
        <v>0.0</v>
      </c>
      <c r="M52" s="21">
        <v>0.0</v>
      </c>
      <c r="N52" s="21">
        <v>0.0</v>
      </c>
      <c r="O52" s="21">
        <v>0.0</v>
      </c>
      <c r="P52" s="21">
        <v>0.0</v>
      </c>
      <c r="Q52" s="21">
        <v>0.0</v>
      </c>
      <c r="R52" s="21">
        <v>0.0</v>
      </c>
      <c r="S52" s="21">
        <v>0.0</v>
      </c>
      <c r="T52" s="21">
        <v>2.0</v>
      </c>
      <c r="U52" s="21">
        <v>1.0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8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8">
        <v>0.0</v>
      </c>
    </row>
    <row r="53" ht="15.75" customHeight="1">
      <c r="A53" s="36" t="s">
        <v>47</v>
      </c>
      <c r="B53" s="20">
        <v>0.0</v>
      </c>
      <c r="C53" s="21">
        <v>0.0</v>
      </c>
      <c r="D53" s="21">
        <v>0.0</v>
      </c>
      <c r="E53" s="21">
        <v>0.0</v>
      </c>
      <c r="F53" s="21">
        <v>0.0</v>
      </c>
      <c r="G53" s="21">
        <v>0.0</v>
      </c>
      <c r="H53" s="21">
        <v>0.0</v>
      </c>
      <c r="I53" s="21">
        <v>0.0</v>
      </c>
      <c r="J53" s="21">
        <v>0.0</v>
      </c>
      <c r="K53" s="21">
        <v>0.0</v>
      </c>
      <c r="L53" s="21">
        <v>0.0</v>
      </c>
      <c r="M53" s="21">
        <v>0.0</v>
      </c>
      <c r="N53" s="21">
        <v>0.0</v>
      </c>
      <c r="O53" s="21">
        <v>0.0</v>
      </c>
      <c r="P53" s="21">
        <v>0.0</v>
      </c>
      <c r="Q53" s="21">
        <v>0.0</v>
      </c>
      <c r="R53" s="21">
        <v>0.0</v>
      </c>
      <c r="S53" s="21">
        <v>0.0</v>
      </c>
      <c r="T53" s="21">
        <v>0.0</v>
      </c>
      <c r="U53" s="21">
        <v>0.0</v>
      </c>
      <c r="V53" s="21">
        <v>1.0</v>
      </c>
      <c r="W53" s="21">
        <v>1.0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8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8">
        <v>0.0</v>
      </c>
    </row>
    <row r="54" ht="15.75" customHeight="1">
      <c r="A54" s="37" t="s">
        <v>48</v>
      </c>
      <c r="B54" s="18">
        <v>0.0</v>
      </c>
      <c r="C54" s="23">
        <v>0.0</v>
      </c>
      <c r="D54" s="23">
        <v>0.0</v>
      </c>
      <c r="E54" s="23">
        <v>0.0</v>
      </c>
      <c r="F54" s="23">
        <v>0.0</v>
      </c>
      <c r="G54" s="23">
        <v>0.0</v>
      </c>
      <c r="H54" s="23">
        <v>0.0</v>
      </c>
      <c r="I54" s="23">
        <v>0.0</v>
      </c>
      <c r="J54" s="23">
        <v>0.0</v>
      </c>
      <c r="K54" s="23">
        <v>0.0</v>
      </c>
      <c r="L54" s="23">
        <v>0.0</v>
      </c>
      <c r="M54" s="23">
        <v>0.0</v>
      </c>
      <c r="N54" s="23">
        <v>0.0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1.0</v>
      </c>
      <c r="X54" s="23">
        <v>1.0</v>
      </c>
      <c r="Y54" s="5">
        <v>0.0</v>
      </c>
      <c r="Z54" s="5">
        <v>0.0</v>
      </c>
      <c r="AA54" s="5">
        <v>0.0</v>
      </c>
      <c r="AB54" s="5">
        <v>0.0</v>
      </c>
      <c r="AC54" s="6">
        <v>0.0</v>
      </c>
      <c r="AD54" s="5">
        <v>0.0</v>
      </c>
      <c r="AE54" s="5">
        <v>0.0</v>
      </c>
      <c r="AF54" s="5">
        <v>0.0</v>
      </c>
      <c r="AG54" s="5">
        <v>0.0</v>
      </c>
      <c r="AH54" s="5">
        <v>0.0</v>
      </c>
      <c r="AI54" s="5">
        <v>0.0</v>
      </c>
      <c r="AJ54" s="5">
        <v>0.0</v>
      </c>
      <c r="AK54" s="5">
        <v>0.0</v>
      </c>
      <c r="AL54" s="5">
        <v>0.0</v>
      </c>
      <c r="AM54" s="5">
        <v>0.0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S54" s="5">
        <v>0.0</v>
      </c>
      <c r="AT54" s="5">
        <v>0.0</v>
      </c>
      <c r="AU54" s="5">
        <v>0.0</v>
      </c>
      <c r="AV54" s="5">
        <v>0.0</v>
      </c>
      <c r="AW54" s="5">
        <v>0.0</v>
      </c>
      <c r="AX54" s="5">
        <v>0.0</v>
      </c>
      <c r="AY54" s="5">
        <v>0.0</v>
      </c>
      <c r="AZ54" s="5">
        <v>0.0</v>
      </c>
      <c r="BA54" s="5">
        <v>0.0</v>
      </c>
      <c r="BB54" s="5">
        <v>0.0</v>
      </c>
      <c r="BC54" s="5">
        <v>0.0</v>
      </c>
      <c r="BD54" s="5">
        <v>0.0</v>
      </c>
      <c r="BE54" s="5">
        <v>0.0</v>
      </c>
      <c r="BF54" s="5">
        <v>0.0</v>
      </c>
      <c r="BG54" s="5">
        <v>0.0</v>
      </c>
      <c r="BH54" s="5">
        <v>0.0</v>
      </c>
      <c r="BI54" s="5">
        <v>0.0</v>
      </c>
      <c r="BJ54" s="6">
        <v>0.0</v>
      </c>
    </row>
    <row r="55" ht="15.75" customHeight="1">
      <c r="A55" s="38" t="s">
        <v>49</v>
      </c>
      <c r="B55" s="20">
        <v>0.0</v>
      </c>
      <c r="C55" s="21">
        <v>0.0</v>
      </c>
      <c r="D55" s="21">
        <v>0.0</v>
      </c>
      <c r="E55" s="21">
        <v>0.0</v>
      </c>
      <c r="F55" s="21">
        <v>0.0</v>
      </c>
      <c r="G55" s="21">
        <v>0.0</v>
      </c>
      <c r="H55" s="21">
        <v>0.0</v>
      </c>
      <c r="I55" s="21">
        <v>0.0</v>
      </c>
      <c r="J55" s="21">
        <v>0.0</v>
      </c>
      <c r="K55" s="21">
        <v>0.0</v>
      </c>
      <c r="L55" s="21">
        <v>0.0</v>
      </c>
      <c r="M55" s="21">
        <v>0.0</v>
      </c>
      <c r="N55" s="21">
        <v>0.0</v>
      </c>
      <c r="O55" s="21">
        <v>0.0</v>
      </c>
      <c r="P55" s="21">
        <v>0.0</v>
      </c>
      <c r="Q55" s="21">
        <v>0.0</v>
      </c>
      <c r="R55" s="21">
        <v>0.0</v>
      </c>
      <c r="S55" s="21">
        <v>0.0</v>
      </c>
      <c r="T55" s="21">
        <v>0.0</v>
      </c>
      <c r="U55" s="21">
        <v>0.0</v>
      </c>
      <c r="V55" s="21">
        <v>0.0</v>
      </c>
      <c r="W55" s="21">
        <v>1.0</v>
      </c>
      <c r="X55" s="21">
        <v>1.0</v>
      </c>
      <c r="Y55" s="7">
        <v>0.0</v>
      </c>
      <c r="Z55" s="7">
        <v>0.0</v>
      </c>
      <c r="AA55" s="7">
        <v>0.0</v>
      </c>
      <c r="AB55" s="7">
        <v>0.0</v>
      </c>
      <c r="AC55" s="8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0.0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  <c r="BJ55" s="8">
        <v>0.0</v>
      </c>
    </row>
    <row r="56" ht="15.75" customHeight="1">
      <c r="A56" s="38" t="s">
        <v>50</v>
      </c>
      <c r="B56" s="20">
        <v>0.0</v>
      </c>
      <c r="C56" s="21">
        <v>0.0</v>
      </c>
      <c r="D56" s="21">
        <v>0.0</v>
      </c>
      <c r="E56" s="21">
        <v>0.0</v>
      </c>
      <c r="F56" s="21">
        <v>0.0</v>
      </c>
      <c r="G56" s="21">
        <v>0.0</v>
      </c>
      <c r="H56" s="21">
        <v>0.0</v>
      </c>
      <c r="I56" s="21">
        <v>0.0</v>
      </c>
      <c r="J56" s="21">
        <v>0.0</v>
      </c>
      <c r="K56" s="21">
        <v>0.0</v>
      </c>
      <c r="L56" s="21">
        <v>0.0</v>
      </c>
      <c r="M56" s="21">
        <v>0.0</v>
      </c>
      <c r="N56" s="21">
        <v>0.0</v>
      </c>
      <c r="O56" s="21">
        <v>0.0</v>
      </c>
      <c r="P56" s="21">
        <v>0.0</v>
      </c>
      <c r="Q56" s="21">
        <v>0.0</v>
      </c>
      <c r="R56" s="21">
        <v>0.0</v>
      </c>
      <c r="S56" s="21">
        <v>0.0</v>
      </c>
      <c r="T56" s="21">
        <v>0.0</v>
      </c>
      <c r="U56" s="21">
        <v>0.0</v>
      </c>
      <c r="V56" s="21">
        <v>0.0</v>
      </c>
      <c r="W56" s="21">
        <v>1.0</v>
      </c>
      <c r="X56" s="21">
        <v>1.0</v>
      </c>
      <c r="Y56" s="7">
        <v>0.0</v>
      </c>
      <c r="Z56" s="7">
        <v>0.0</v>
      </c>
      <c r="AA56" s="7">
        <v>0.0</v>
      </c>
      <c r="AB56" s="7">
        <v>0.0</v>
      </c>
      <c r="AC56" s="8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8">
        <v>0.0</v>
      </c>
    </row>
    <row r="57" ht="15.75" customHeight="1">
      <c r="A57" s="39" t="s">
        <v>51</v>
      </c>
      <c r="B57" s="18">
        <v>0.0</v>
      </c>
      <c r="C57" s="23">
        <v>0.0</v>
      </c>
      <c r="D57" s="23">
        <v>0.0</v>
      </c>
      <c r="E57" s="23">
        <v>0.0</v>
      </c>
      <c r="F57" s="23">
        <v>0.0</v>
      </c>
      <c r="G57" s="23">
        <v>0.0</v>
      </c>
      <c r="H57" s="23">
        <v>0.0</v>
      </c>
      <c r="I57" s="23">
        <v>0.0</v>
      </c>
      <c r="J57" s="23">
        <v>0.0</v>
      </c>
      <c r="K57" s="23">
        <v>0.0</v>
      </c>
      <c r="L57" s="23">
        <v>0.0</v>
      </c>
      <c r="M57" s="23">
        <v>0.0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0.0</v>
      </c>
      <c r="V57" s="23">
        <v>0.0</v>
      </c>
      <c r="W57" s="23">
        <v>0.0</v>
      </c>
      <c r="X57" s="23">
        <v>0.0</v>
      </c>
      <c r="Y57" s="23">
        <v>3.0</v>
      </c>
      <c r="Z57" s="5">
        <v>0.0</v>
      </c>
      <c r="AA57" s="5">
        <v>0.0</v>
      </c>
      <c r="AB57" s="5">
        <v>0.0</v>
      </c>
      <c r="AC57" s="6">
        <v>0.0</v>
      </c>
      <c r="AD57" s="5">
        <v>0.0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S57" s="5">
        <v>0.0</v>
      </c>
      <c r="AT57" s="5">
        <v>0.0</v>
      </c>
      <c r="AU57" s="5">
        <v>0.0</v>
      </c>
      <c r="AV57" s="5">
        <v>0.0</v>
      </c>
      <c r="AW57" s="5">
        <v>0.0</v>
      </c>
      <c r="AX57" s="5">
        <v>0.0</v>
      </c>
      <c r="AY57" s="5">
        <v>0.0</v>
      </c>
      <c r="AZ57" s="5">
        <v>0.0</v>
      </c>
      <c r="BA57" s="5">
        <v>0.0</v>
      </c>
      <c r="BB57" s="5">
        <v>0.0</v>
      </c>
      <c r="BC57" s="5">
        <v>0.0</v>
      </c>
      <c r="BD57" s="5">
        <v>0.0</v>
      </c>
      <c r="BE57" s="5">
        <v>0.0</v>
      </c>
      <c r="BF57" s="5">
        <v>0.0</v>
      </c>
      <c r="BG57" s="5">
        <v>0.0</v>
      </c>
      <c r="BH57" s="5">
        <v>0.0</v>
      </c>
      <c r="BI57" s="5">
        <v>0.0</v>
      </c>
      <c r="BJ57" s="6">
        <v>0.0</v>
      </c>
    </row>
    <row r="58" ht="15.75" customHeight="1">
      <c r="A58" s="40" t="s">
        <v>52</v>
      </c>
      <c r="B58" s="20">
        <v>0.0</v>
      </c>
      <c r="C58" s="21">
        <v>0.0</v>
      </c>
      <c r="D58" s="21">
        <v>0.0</v>
      </c>
      <c r="E58" s="21">
        <v>0.0</v>
      </c>
      <c r="F58" s="21">
        <v>0.0</v>
      </c>
      <c r="G58" s="21">
        <v>0.0</v>
      </c>
      <c r="H58" s="21">
        <v>0.0</v>
      </c>
      <c r="I58" s="21">
        <v>0.0</v>
      </c>
      <c r="J58" s="21">
        <v>0.0</v>
      </c>
      <c r="K58" s="21">
        <v>0.0</v>
      </c>
      <c r="L58" s="21">
        <v>0.0</v>
      </c>
      <c r="M58" s="21">
        <v>0.0</v>
      </c>
      <c r="N58" s="21">
        <v>0.0</v>
      </c>
      <c r="O58" s="21">
        <v>0.0</v>
      </c>
      <c r="P58" s="21">
        <v>0.0</v>
      </c>
      <c r="Q58" s="21">
        <v>0.0</v>
      </c>
      <c r="R58" s="21">
        <v>0.0</v>
      </c>
      <c r="S58" s="21">
        <v>0.0</v>
      </c>
      <c r="T58" s="21">
        <v>0.0</v>
      </c>
      <c r="U58" s="21">
        <v>0.0</v>
      </c>
      <c r="V58" s="21">
        <v>0.0</v>
      </c>
      <c r="W58" s="21">
        <v>0.0</v>
      </c>
      <c r="X58" s="21">
        <v>0.0</v>
      </c>
      <c r="Y58" s="21">
        <v>0.0</v>
      </c>
      <c r="Z58" s="21">
        <v>1.0</v>
      </c>
      <c r="AA58" s="7">
        <v>0.0</v>
      </c>
      <c r="AB58" s="7">
        <v>0.0</v>
      </c>
      <c r="AC58" s="8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0.0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8">
        <v>0.0</v>
      </c>
    </row>
    <row r="59" ht="15.75" customHeight="1">
      <c r="A59" s="40" t="s">
        <v>53</v>
      </c>
      <c r="B59" s="20">
        <v>0.0</v>
      </c>
      <c r="C59" s="21">
        <v>0.0</v>
      </c>
      <c r="D59" s="21">
        <v>0.0</v>
      </c>
      <c r="E59" s="21">
        <v>0.0</v>
      </c>
      <c r="F59" s="21">
        <v>0.0</v>
      </c>
      <c r="G59" s="21">
        <v>0.0</v>
      </c>
      <c r="H59" s="21">
        <v>0.0</v>
      </c>
      <c r="I59" s="21">
        <v>0.0</v>
      </c>
      <c r="J59" s="21">
        <v>0.0</v>
      </c>
      <c r="K59" s="21">
        <v>0.0</v>
      </c>
      <c r="L59" s="21">
        <v>0.0</v>
      </c>
      <c r="M59" s="21">
        <v>0.0</v>
      </c>
      <c r="N59" s="21">
        <v>0.0</v>
      </c>
      <c r="O59" s="21">
        <v>0.0</v>
      </c>
      <c r="P59" s="21">
        <v>0.0</v>
      </c>
      <c r="Q59" s="21">
        <v>0.0</v>
      </c>
      <c r="R59" s="21">
        <v>0.0</v>
      </c>
      <c r="S59" s="21">
        <v>0.0</v>
      </c>
      <c r="T59" s="21">
        <v>0.0</v>
      </c>
      <c r="U59" s="21">
        <v>0.0</v>
      </c>
      <c r="V59" s="21">
        <v>0.0</v>
      </c>
      <c r="W59" s="21">
        <v>0.0</v>
      </c>
      <c r="X59" s="21">
        <v>0.0</v>
      </c>
      <c r="Y59" s="21">
        <v>0.0</v>
      </c>
      <c r="Z59" s="21">
        <v>1.0</v>
      </c>
      <c r="AA59" s="7">
        <v>0.0</v>
      </c>
      <c r="AB59" s="7">
        <v>0.0</v>
      </c>
      <c r="AC59" s="8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  <c r="BJ59" s="8">
        <v>0.0</v>
      </c>
    </row>
    <row r="60" ht="15.75" customHeight="1">
      <c r="A60" s="40" t="s">
        <v>54</v>
      </c>
      <c r="B60" s="20">
        <v>0.0</v>
      </c>
      <c r="C60" s="21">
        <v>0.0</v>
      </c>
      <c r="D60" s="21">
        <v>0.0</v>
      </c>
      <c r="E60" s="21">
        <v>0.0</v>
      </c>
      <c r="F60" s="21">
        <v>0.0</v>
      </c>
      <c r="G60" s="21">
        <v>0.0</v>
      </c>
      <c r="H60" s="21">
        <v>0.0</v>
      </c>
      <c r="I60" s="21">
        <v>0.0</v>
      </c>
      <c r="J60" s="21">
        <v>0.0</v>
      </c>
      <c r="K60" s="21">
        <v>0.0</v>
      </c>
      <c r="L60" s="21">
        <v>0.0</v>
      </c>
      <c r="M60" s="21">
        <v>0.0</v>
      </c>
      <c r="N60" s="21">
        <v>0.0</v>
      </c>
      <c r="O60" s="21">
        <v>0.0</v>
      </c>
      <c r="P60" s="21">
        <v>0.0</v>
      </c>
      <c r="Q60" s="21">
        <v>0.0</v>
      </c>
      <c r="R60" s="21">
        <v>0.0</v>
      </c>
      <c r="S60" s="21">
        <v>0.0</v>
      </c>
      <c r="T60" s="21">
        <v>0.0</v>
      </c>
      <c r="U60" s="21">
        <v>0.0</v>
      </c>
      <c r="V60" s="21">
        <v>0.0</v>
      </c>
      <c r="W60" s="21">
        <v>0.0</v>
      </c>
      <c r="X60" s="21">
        <v>0.0</v>
      </c>
      <c r="Y60" s="21">
        <v>0.0</v>
      </c>
      <c r="Z60" s="21">
        <v>0.0</v>
      </c>
      <c r="AA60" s="21">
        <v>2.0</v>
      </c>
      <c r="AB60" s="7">
        <v>0.0</v>
      </c>
      <c r="AC60" s="8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0.0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  <c r="BJ60" s="7">
        <v>0.0</v>
      </c>
      <c r="BK60" s="41"/>
    </row>
    <row r="61" ht="15.75" customHeight="1">
      <c r="A61" s="42" t="s">
        <v>55</v>
      </c>
      <c r="B61" s="43">
        <v>0.0</v>
      </c>
      <c r="C61" s="44">
        <v>0.0</v>
      </c>
      <c r="D61" s="44">
        <v>0.0</v>
      </c>
      <c r="E61" s="44">
        <v>0.0</v>
      </c>
      <c r="F61" s="44">
        <v>0.0</v>
      </c>
      <c r="G61" s="44">
        <v>0.0</v>
      </c>
      <c r="H61" s="44">
        <v>0.0</v>
      </c>
      <c r="I61" s="44">
        <v>0.0</v>
      </c>
      <c r="J61" s="44">
        <v>0.0</v>
      </c>
      <c r="K61" s="44">
        <v>0.0</v>
      </c>
      <c r="L61" s="44">
        <v>0.0</v>
      </c>
      <c r="M61" s="44">
        <v>0.0</v>
      </c>
      <c r="N61" s="44">
        <v>0.0</v>
      </c>
      <c r="O61" s="44">
        <v>0.0</v>
      </c>
      <c r="P61" s="44">
        <v>0.0</v>
      </c>
      <c r="Q61" s="44">
        <v>0.0</v>
      </c>
      <c r="R61" s="44">
        <v>0.0</v>
      </c>
      <c r="S61" s="44">
        <v>0.0</v>
      </c>
      <c r="T61" s="44">
        <v>0.0</v>
      </c>
      <c r="U61" s="44">
        <v>0.0</v>
      </c>
      <c r="V61" s="44">
        <v>0.0</v>
      </c>
      <c r="W61" s="44">
        <v>0.0</v>
      </c>
      <c r="X61" s="44">
        <v>0.0</v>
      </c>
      <c r="Y61" s="44">
        <v>0.0</v>
      </c>
      <c r="Z61" s="44">
        <v>0.0</v>
      </c>
      <c r="AA61" s="44">
        <v>2.0</v>
      </c>
      <c r="AB61" s="45">
        <v>0.0</v>
      </c>
      <c r="AC61" s="46">
        <v>0.0</v>
      </c>
      <c r="AD61" s="45">
        <v>0.0</v>
      </c>
      <c r="AE61" s="45">
        <v>0.0</v>
      </c>
      <c r="AF61" s="45">
        <v>0.0</v>
      </c>
      <c r="AG61" s="45">
        <v>0.0</v>
      </c>
      <c r="AH61" s="45">
        <v>0.0</v>
      </c>
      <c r="AI61" s="45">
        <v>0.0</v>
      </c>
      <c r="AJ61" s="45">
        <v>0.0</v>
      </c>
      <c r="AK61" s="45">
        <v>0.0</v>
      </c>
      <c r="AL61" s="45">
        <v>0.0</v>
      </c>
      <c r="AM61" s="45">
        <v>0.0</v>
      </c>
      <c r="AN61" s="45">
        <v>0.0</v>
      </c>
      <c r="AO61" s="45">
        <v>0.0</v>
      </c>
      <c r="AP61" s="45">
        <v>0.0</v>
      </c>
      <c r="AQ61" s="45">
        <v>0.0</v>
      </c>
      <c r="AR61" s="45">
        <v>0.0</v>
      </c>
      <c r="AS61" s="45">
        <v>0.0</v>
      </c>
      <c r="AT61" s="45">
        <v>0.0</v>
      </c>
      <c r="AU61" s="45">
        <v>0.0</v>
      </c>
      <c r="AV61" s="45">
        <v>0.0</v>
      </c>
      <c r="AW61" s="45">
        <v>0.0</v>
      </c>
      <c r="AX61" s="45">
        <v>0.0</v>
      </c>
      <c r="AY61" s="45">
        <v>0.0</v>
      </c>
      <c r="AZ61" s="45">
        <v>0.0</v>
      </c>
      <c r="BA61" s="45">
        <v>0.0</v>
      </c>
      <c r="BB61" s="45">
        <v>0.0</v>
      </c>
      <c r="BC61" s="45">
        <v>0.0</v>
      </c>
      <c r="BD61" s="45">
        <v>0.0</v>
      </c>
      <c r="BE61" s="45">
        <v>0.0</v>
      </c>
      <c r="BF61" s="45">
        <v>0.0</v>
      </c>
      <c r="BG61" s="45">
        <v>0.0</v>
      </c>
      <c r="BH61" s="45">
        <v>0.0</v>
      </c>
      <c r="BI61" s="45">
        <v>0.0</v>
      </c>
      <c r="BJ61" s="45">
        <v>0.0</v>
      </c>
      <c r="BK61" s="41"/>
    </row>
    <row r="62" ht="15.75" customHeight="1">
      <c r="A62" s="47" t="s">
        <v>56</v>
      </c>
      <c r="B62" s="18">
        <v>0.0</v>
      </c>
      <c r="C62" s="23">
        <v>0.0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23">
        <v>0.0</v>
      </c>
      <c r="L62" s="23">
        <v>0.0</v>
      </c>
      <c r="M62" s="23">
        <v>0.0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3">
        <v>0.0</v>
      </c>
      <c r="AA62" s="23">
        <v>0.0</v>
      </c>
      <c r="AB62" s="23">
        <v>0.0</v>
      </c>
      <c r="AC62" s="48">
        <v>1.0</v>
      </c>
      <c r="AD62" s="7">
        <v>0.0</v>
      </c>
      <c r="AE62" s="7">
        <v>0.0</v>
      </c>
      <c r="AF62" s="7">
        <v>0.0</v>
      </c>
      <c r="AG62" s="7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</v>
      </c>
      <c r="AW62" s="7">
        <v>0.0</v>
      </c>
      <c r="AX62" s="7">
        <v>0.0</v>
      </c>
      <c r="AY62" s="7">
        <v>0.0</v>
      </c>
      <c r="AZ62" s="7">
        <v>0.0</v>
      </c>
      <c r="BA62" s="7">
        <v>0.0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  <c r="BJ62" s="7">
        <v>0.0</v>
      </c>
      <c r="BK62" s="41"/>
    </row>
    <row r="63" ht="15.75" customHeight="1">
      <c r="A63" s="49" t="s">
        <v>57</v>
      </c>
      <c r="B63" s="20">
        <v>0.0</v>
      </c>
      <c r="C63" s="21">
        <v>0.0</v>
      </c>
      <c r="D63" s="21">
        <v>0.0</v>
      </c>
      <c r="E63" s="21">
        <v>0.0</v>
      </c>
      <c r="F63" s="21">
        <v>0.0</v>
      </c>
      <c r="G63" s="21">
        <v>0.0</v>
      </c>
      <c r="H63" s="21">
        <v>0.0</v>
      </c>
      <c r="I63" s="21">
        <v>0.0</v>
      </c>
      <c r="J63" s="21">
        <v>0.0</v>
      </c>
      <c r="K63" s="21">
        <v>0.0</v>
      </c>
      <c r="L63" s="21">
        <v>0.0</v>
      </c>
      <c r="M63" s="21">
        <v>0.0</v>
      </c>
      <c r="N63" s="21">
        <v>0.0</v>
      </c>
      <c r="O63" s="21">
        <v>0.0</v>
      </c>
      <c r="P63" s="21">
        <v>0.0</v>
      </c>
      <c r="Q63" s="21">
        <v>0.0</v>
      </c>
      <c r="R63" s="21">
        <v>0.0</v>
      </c>
      <c r="S63" s="21">
        <v>0.0</v>
      </c>
      <c r="T63" s="21">
        <v>0.0</v>
      </c>
      <c r="U63" s="21">
        <v>0.0</v>
      </c>
      <c r="V63" s="21">
        <v>0.0</v>
      </c>
      <c r="W63" s="21">
        <v>0.0</v>
      </c>
      <c r="X63" s="21">
        <v>0.0</v>
      </c>
      <c r="Y63" s="21">
        <v>0.0</v>
      </c>
      <c r="Z63" s="21">
        <v>0.0</v>
      </c>
      <c r="AA63" s="21">
        <v>0.0</v>
      </c>
      <c r="AB63" s="21">
        <v>1.0</v>
      </c>
      <c r="AC63" s="50">
        <v>1.0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0.0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7">
        <v>0.0</v>
      </c>
      <c r="BK63" s="41"/>
    </row>
    <row r="64" ht="15.75" customHeight="1">
      <c r="A64" s="49" t="s">
        <v>58</v>
      </c>
      <c r="B64" s="20">
        <v>0.0</v>
      </c>
      <c r="C64" s="21">
        <v>0.0</v>
      </c>
      <c r="D64" s="21">
        <v>0.0</v>
      </c>
      <c r="E64" s="21">
        <v>0.0</v>
      </c>
      <c r="F64" s="21">
        <v>0.0</v>
      </c>
      <c r="G64" s="21">
        <v>0.0</v>
      </c>
      <c r="H64" s="21">
        <v>0.0</v>
      </c>
      <c r="I64" s="21">
        <v>0.0</v>
      </c>
      <c r="J64" s="21">
        <v>0.0</v>
      </c>
      <c r="K64" s="21">
        <v>0.0</v>
      </c>
      <c r="L64" s="21">
        <v>0.0</v>
      </c>
      <c r="M64" s="21">
        <v>0.0</v>
      </c>
      <c r="N64" s="21">
        <v>0.0</v>
      </c>
      <c r="O64" s="21">
        <v>0.0</v>
      </c>
      <c r="P64" s="21">
        <v>0.0</v>
      </c>
      <c r="Q64" s="21">
        <v>0.0</v>
      </c>
      <c r="R64" s="21">
        <v>0.0</v>
      </c>
      <c r="S64" s="21">
        <v>0.0</v>
      </c>
      <c r="T64" s="21">
        <v>0.0</v>
      </c>
      <c r="U64" s="21">
        <v>0.0</v>
      </c>
      <c r="V64" s="21">
        <v>0.0</v>
      </c>
      <c r="W64" s="21">
        <v>0.0</v>
      </c>
      <c r="X64" s="21">
        <v>0.0</v>
      </c>
      <c r="Y64" s="21">
        <v>0.0</v>
      </c>
      <c r="Z64" s="21">
        <v>0.0</v>
      </c>
      <c r="AA64" s="21">
        <v>0.0</v>
      </c>
      <c r="AB64" s="21">
        <v>0.0</v>
      </c>
      <c r="AC64" s="50">
        <v>1.0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  <c r="BJ64" s="7">
        <v>0.0</v>
      </c>
      <c r="BK64" s="41"/>
    </row>
    <row r="65" ht="15.75" customHeight="1">
      <c r="A65" s="51" t="s">
        <v>59</v>
      </c>
      <c r="B65" s="43">
        <v>0.0</v>
      </c>
      <c r="C65" s="44">
        <v>0.0</v>
      </c>
      <c r="D65" s="44">
        <v>0.0</v>
      </c>
      <c r="E65" s="44">
        <v>0.0</v>
      </c>
      <c r="F65" s="44">
        <v>0.0</v>
      </c>
      <c r="G65" s="44">
        <v>0.0</v>
      </c>
      <c r="H65" s="44">
        <v>0.0</v>
      </c>
      <c r="I65" s="44">
        <v>0.0</v>
      </c>
      <c r="J65" s="44">
        <v>0.0</v>
      </c>
      <c r="K65" s="44">
        <v>0.0</v>
      </c>
      <c r="L65" s="44">
        <v>0.0</v>
      </c>
      <c r="M65" s="44">
        <v>0.0</v>
      </c>
      <c r="N65" s="44">
        <v>0.0</v>
      </c>
      <c r="O65" s="44">
        <v>0.0</v>
      </c>
      <c r="P65" s="44">
        <v>0.0</v>
      </c>
      <c r="Q65" s="44">
        <v>0.0</v>
      </c>
      <c r="R65" s="44">
        <v>0.0</v>
      </c>
      <c r="S65" s="44">
        <v>0.0</v>
      </c>
      <c r="T65" s="44">
        <v>0.0</v>
      </c>
      <c r="U65" s="44">
        <v>0.0</v>
      </c>
      <c r="V65" s="44">
        <v>0.0</v>
      </c>
      <c r="W65" s="44">
        <v>0.0</v>
      </c>
      <c r="X65" s="44">
        <v>0.0</v>
      </c>
      <c r="Y65" s="44">
        <v>0.0</v>
      </c>
      <c r="Z65" s="44">
        <v>0.0</v>
      </c>
      <c r="AA65" s="44">
        <v>0.0</v>
      </c>
      <c r="AB65" s="44">
        <v>0.0</v>
      </c>
      <c r="AC65" s="52">
        <v>1.0</v>
      </c>
      <c r="AD65" s="45">
        <v>0.0</v>
      </c>
      <c r="AE65" s="45">
        <v>0.0</v>
      </c>
      <c r="AF65" s="45">
        <v>0.0</v>
      </c>
      <c r="AG65" s="45">
        <v>0.0</v>
      </c>
      <c r="AH65" s="45">
        <v>0.0</v>
      </c>
      <c r="AI65" s="45">
        <v>0.0</v>
      </c>
      <c r="AJ65" s="45">
        <v>0.0</v>
      </c>
      <c r="AK65" s="45">
        <v>0.0</v>
      </c>
      <c r="AL65" s="45">
        <v>0.0</v>
      </c>
      <c r="AM65" s="45">
        <v>0.0</v>
      </c>
      <c r="AN65" s="45">
        <v>0.0</v>
      </c>
      <c r="AO65" s="45">
        <v>0.0</v>
      </c>
      <c r="AP65" s="45">
        <v>0.0</v>
      </c>
      <c r="AQ65" s="45">
        <v>0.0</v>
      </c>
      <c r="AR65" s="45">
        <v>0.0</v>
      </c>
      <c r="AS65" s="45">
        <v>0.0</v>
      </c>
      <c r="AT65" s="45">
        <v>0.0</v>
      </c>
      <c r="AU65" s="45">
        <v>0.0</v>
      </c>
      <c r="AV65" s="45">
        <v>0.0</v>
      </c>
      <c r="AW65" s="45">
        <v>0.0</v>
      </c>
      <c r="AX65" s="45">
        <v>0.0</v>
      </c>
      <c r="AY65" s="45">
        <v>0.0</v>
      </c>
      <c r="AZ65" s="45">
        <v>0.0</v>
      </c>
      <c r="BA65" s="45">
        <v>0.0</v>
      </c>
      <c r="BB65" s="45">
        <v>0.0</v>
      </c>
      <c r="BC65" s="45">
        <v>0.0</v>
      </c>
      <c r="BD65" s="45">
        <v>0.0</v>
      </c>
      <c r="BE65" s="45">
        <v>0.0</v>
      </c>
      <c r="BF65" s="45">
        <v>0.0</v>
      </c>
      <c r="BG65" s="45">
        <v>0.0</v>
      </c>
      <c r="BH65" s="45">
        <v>0.0</v>
      </c>
      <c r="BI65" s="45">
        <v>0.0</v>
      </c>
      <c r="BJ65" s="45">
        <v>0.0</v>
      </c>
      <c r="BK65" s="41"/>
    </row>
    <row r="66" ht="15.75" customHeight="1">
      <c r="A66" s="53" t="s">
        <v>60</v>
      </c>
      <c r="B66" s="54">
        <v>0.0</v>
      </c>
      <c r="C66" s="54">
        <v>0.0</v>
      </c>
      <c r="D66" s="54">
        <v>0.0</v>
      </c>
      <c r="E66" s="54">
        <v>0.0</v>
      </c>
      <c r="F66" s="54">
        <v>0.0</v>
      </c>
      <c r="G66" s="54">
        <v>0.0</v>
      </c>
      <c r="H66" s="54">
        <v>0.0</v>
      </c>
      <c r="I66" s="54">
        <v>0.0</v>
      </c>
      <c r="J66" s="54">
        <v>0.0</v>
      </c>
      <c r="K66" s="54">
        <v>0.0</v>
      </c>
      <c r="L66" s="54">
        <v>0.0</v>
      </c>
      <c r="M66" s="54">
        <v>0.0</v>
      </c>
      <c r="N66" s="54">
        <v>0.0</v>
      </c>
      <c r="O66" s="54">
        <v>0.0</v>
      </c>
      <c r="P66" s="54">
        <v>0.0</v>
      </c>
      <c r="Q66" s="54">
        <v>0.0</v>
      </c>
      <c r="R66" s="54">
        <v>0.0</v>
      </c>
      <c r="S66" s="54">
        <v>0.0</v>
      </c>
      <c r="T66" s="54">
        <v>0.0</v>
      </c>
      <c r="U66" s="54">
        <v>0.0</v>
      </c>
      <c r="V66" s="54">
        <v>0.0</v>
      </c>
      <c r="W66" s="54">
        <v>0.0</v>
      </c>
      <c r="X66" s="54">
        <v>0.0</v>
      </c>
      <c r="Y66" s="54">
        <v>0.0</v>
      </c>
      <c r="Z66" s="54">
        <v>0.0</v>
      </c>
      <c r="AA66" s="54">
        <v>0.0</v>
      </c>
      <c r="AB66" s="54">
        <v>0.0</v>
      </c>
      <c r="AC66" s="55">
        <v>0.0</v>
      </c>
      <c r="AD66" s="54">
        <v>6.0</v>
      </c>
      <c r="AE66" s="54">
        <v>2.0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0.0</v>
      </c>
      <c r="AZ66" s="7">
        <v>0.0</v>
      </c>
      <c r="BA66" s="7">
        <v>0.0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  <c r="BJ66" s="7">
        <v>0.0</v>
      </c>
      <c r="BK66" s="41"/>
    </row>
    <row r="67" ht="15.75" customHeight="1">
      <c r="A67" s="56" t="s">
        <v>61</v>
      </c>
      <c r="B67" s="54">
        <v>0.0</v>
      </c>
      <c r="C67" s="54">
        <v>0.0</v>
      </c>
      <c r="D67" s="54">
        <v>0.0</v>
      </c>
      <c r="E67" s="54">
        <v>0.0</v>
      </c>
      <c r="F67" s="54">
        <v>0.0</v>
      </c>
      <c r="G67" s="54">
        <v>0.0</v>
      </c>
      <c r="H67" s="54">
        <v>0.0</v>
      </c>
      <c r="I67" s="54">
        <v>0.0</v>
      </c>
      <c r="J67" s="54">
        <v>0.0</v>
      </c>
      <c r="K67" s="54">
        <v>0.0</v>
      </c>
      <c r="L67" s="54">
        <v>0.0</v>
      </c>
      <c r="M67" s="54">
        <v>0.0</v>
      </c>
      <c r="N67" s="54">
        <v>0.0</v>
      </c>
      <c r="O67" s="54">
        <v>0.0</v>
      </c>
      <c r="P67" s="54">
        <v>0.0</v>
      </c>
      <c r="Q67" s="54">
        <v>0.0</v>
      </c>
      <c r="R67" s="54">
        <v>0.0</v>
      </c>
      <c r="S67" s="54">
        <v>0.0</v>
      </c>
      <c r="T67" s="54">
        <v>0.0</v>
      </c>
      <c r="U67" s="54">
        <v>0.0</v>
      </c>
      <c r="V67" s="54">
        <v>0.0</v>
      </c>
      <c r="W67" s="54">
        <v>0.0</v>
      </c>
      <c r="X67" s="54">
        <v>0.0</v>
      </c>
      <c r="Y67" s="54">
        <v>0.0</v>
      </c>
      <c r="Z67" s="54">
        <v>0.0</v>
      </c>
      <c r="AA67" s="54">
        <v>0.0</v>
      </c>
      <c r="AB67" s="54">
        <v>0.0</v>
      </c>
      <c r="AC67" s="55">
        <v>0.0</v>
      </c>
      <c r="AD67" s="54">
        <v>0.0</v>
      </c>
      <c r="AE67" s="54">
        <v>0.0</v>
      </c>
      <c r="AF67" s="54">
        <v>3.0</v>
      </c>
      <c r="AG67" s="54">
        <v>1.0</v>
      </c>
      <c r="AH67" s="54">
        <v>1.0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  <c r="BJ67" s="7">
        <v>0.0</v>
      </c>
      <c r="BK67" s="41"/>
    </row>
    <row r="68" ht="15.75" customHeight="1">
      <c r="A68" s="56" t="s">
        <v>62</v>
      </c>
      <c r="B68" s="54">
        <v>0.0</v>
      </c>
      <c r="C68" s="54">
        <v>0.0</v>
      </c>
      <c r="D68" s="54">
        <v>0.0</v>
      </c>
      <c r="E68" s="54">
        <v>0.0</v>
      </c>
      <c r="F68" s="54">
        <v>0.0</v>
      </c>
      <c r="G68" s="54">
        <v>0.0</v>
      </c>
      <c r="H68" s="54">
        <v>0.0</v>
      </c>
      <c r="I68" s="54">
        <v>0.0</v>
      </c>
      <c r="J68" s="54">
        <v>0.0</v>
      </c>
      <c r="K68" s="54">
        <v>0.0</v>
      </c>
      <c r="L68" s="54">
        <v>0.0</v>
      </c>
      <c r="M68" s="54">
        <v>0.0</v>
      </c>
      <c r="N68" s="54">
        <v>0.0</v>
      </c>
      <c r="O68" s="54">
        <v>0.0</v>
      </c>
      <c r="P68" s="54">
        <v>0.0</v>
      </c>
      <c r="Q68" s="54">
        <v>0.0</v>
      </c>
      <c r="R68" s="54">
        <v>0.0</v>
      </c>
      <c r="S68" s="54">
        <v>0.0</v>
      </c>
      <c r="T68" s="54">
        <v>0.0</v>
      </c>
      <c r="U68" s="54">
        <v>0.0</v>
      </c>
      <c r="V68" s="54">
        <v>0.0</v>
      </c>
      <c r="W68" s="54">
        <v>0.0</v>
      </c>
      <c r="X68" s="54">
        <v>0.0</v>
      </c>
      <c r="Y68" s="54">
        <v>0.0</v>
      </c>
      <c r="Z68" s="54">
        <v>0.0</v>
      </c>
      <c r="AA68" s="54">
        <v>0.0</v>
      </c>
      <c r="AB68" s="54">
        <v>0.0</v>
      </c>
      <c r="AC68" s="55">
        <v>0.0</v>
      </c>
      <c r="AD68" s="54">
        <v>0.0</v>
      </c>
      <c r="AE68" s="54">
        <v>0.0</v>
      </c>
      <c r="AF68" s="54">
        <v>0.0</v>
      </c>
      <c r="AG68" s="54">
        <v>4.0</v>
      </c>
      <c r="AH68" s="54">
        <v>0.0</v>
      </c>
      <c r="AI68" s="54">
        <v>1.0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0.0</v>
      </c>
      <c r="BA68" s="7">
        <v>0.0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  <c r="BJ68" s="8">
        <v>0.0</v>
      </c>
    </row>
    <row r="69" ht="15.75" customHeight="1">
      <c r="A69" s="56" t="s">
        <v>63</v>
      </c>
      <c r="B69" s="54">
        <v>0.0</v>
      </c>
      <c r="C69" s="54">
        <v>0.0</v>
      </c>
      <c r="D69" s="54">
        <v>0.0</v>
      </c>
      <c r="E69" s="54">
        <v>0.0</v>
      </c>
      <c r="F69" s="54">
        <v>0.0</v>
      </c>
      <c r="G69" s="54">
        <v>0.0</v>
      </c>
      <c r="H69" s="54">
        <v>0.0</v>
      </c>
      <c r="I69" s="54">
        <v>0.0</v>
      </c>
      <c r="J69" s="54">
        <v>0.0</v>
      </c>
      <c r="K69" s="54">
        <v>0.0</v>
      </c>
      <c r="L69" s="54">
        <v>0.0</v>
      </c>
      <c r="M69" s="54">
        <v>0.0</v>
      </c>
      <c r="N69" s="54">
        <v>0.0</v>
      </c>
      <c r="O69" s="54">
        <v>0.0</v>
      </c>
      <c r="P69" s="54">
        <v>0.0</v>
      </c>
      <c r="Q69" s="54">
        <v>0.0</v>
      </c>
      <c r="R69" s="54">
        <v>0.0</v>
      </c>
      <c r="S69" s="54">
        <v>0.0</v>
      </c>
      <c r="T69" s="54">
        <v>0.0</v>
      </c>
      <c r="U69" s="54">
        <v>0.0</v>
      </c>
      <c r="V69" s="54">
        <v>0.0</v>
      </c>
      <c r="W69" s="54">
        <v>0.0</v>
      </c>
      <c r="X69" s="54">
        <v>0.0</v>
      </c>
      <c r="Y69" s="54">
        <v>0.0</v>
      </c>
      <c r="Z69" s="54">
        <v>0.0</v>
      </c>
      <c r="AA69" s="54">
        <v>0.0</v>
      </c>
      <c r="AB69" s="54">
        <v>0.0</v>
      </c>
      <c r="AC69" s="55">
        <v>0.0</v>
      </c>
      <c r="AD69" s="54">
        <v>0.0</v>
      </c>
      <c r="AE69" s="54">
        <v>0.0</v>
      </c>
      <c r="AF69" s="54">
        <v>0.0</v>
      </c>
      <c r="AG69" s="54">
        <v>0.0</v>
      </c>
      <c r="AH69" s="54">
        <v>1.0</v>
      </c>
      <c r="AI69" s="54">
        <v>0.0</v>
      </c>
      <c r="AJ69" s="54">
        <v>1.0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  <c r="BJ69" s="8">
        <v>0.0</v>
      </c>
    </row>
    <row r="70" ht="15.75" customHeight="1">
      <c r="A70" s="57" t="s">
        <v>64</v>
      </c>
      <c r="B70" s="58">
        <v>0.0</v>
      </c>
      <c r="C70" s="58">
        <v>0.0</v>
      </c>
      <c r="D70" s="58">
        <v>0.0</v>
      </c>
      <c r="E70" s="58">
        <v>0.0</v>
      </c>
      <c r="F70" s="58">
        <v>0.0</v>
      </c>
      <c r="G70" s="58">
        <v>0.0</v>
      </c>
      <c r="H70" s="58">
        <v>0.0</v>
      </c>
      <c r="I70" s="58">
        <v>0.0</v>
      </c>
      <c r="J70" s="58">
        <v>0.0</v>
      </c>
      <c r="K70" s="58">
        <v>0.0</v>
      </c>
      <c r="L70" s="58">
        <v>0.0</v>
      </c>
      <c r="M70" s="58">
        <v>0.0</v>
      </c>
      <c r="N70" s="58">
        <v>0.0</v>
      </c>
      <c r="O70" s="58">
        <v>0.0</v>
      </c>
      <c r="P70" s="58">
        <v>0.0</v>
      </c>
      <c r="Q70" s="58">
        <v>0.0</v>
      </c>
      <c r="R70" s="58">
        <v>0.0</v>
      </c>
      <c r="S70" s="58">
        <v>0.0</v>
      </c>
      <c r="T70" s="58">
        <v>0.0</v>
      </c>
      <c r="U70" s="58">
        <v>0.0</v>
      </c>
      <c r="V70" s="58">
        <v>0.0</v>
      </c>
      <c r="W70" s="58">
        <v>0.0</v>
      </c>
      <c r="X70" s="58">
        <v>0.0</v>
      </c>
      <c r="Y70" s="58">
        <v>0.0</v>
      </c>
      <c r="Z70" s="58">
        <v>0.0</v>
      </c>
      <c r="AA70" s="58">
        <v>0.0</v>
      </c>
      <c r="AB70" s="58">
        <v>0.0</v>
      </c>
      <c r="AC70" s="59">
        <v>0.0</v>
      </c>
      <c r="AD70" s="58">
        <v>0.0</v>
      </c>
      <c r="AE70" s="58">
        <v>0.0</v>
      </c>
      <c r="AF70" s="58">
        <v>0.0</v>
      </c>
      <c r="AG70" s="58">
        <v>0.0</v>
      </c>
      <c r="AH70" s="58">
        <v>0.0</v>
      </c>
      <c r="AI70" s="58">
        <v>1.0</v>
      </c>
      <c r="AJ70" s="58">
        <v>0.0</v>
      </c>
      <c r="AK70" s="58">
        <v>1.0</v>
      </c>
      <c r="AL70" s="45">
        <v>0.0</v>
      </c>
      <c r="AM70" s="45">
        <v>0.0</v>
      </c>
      <c r="AN70" s="45">
        <v>0.0</v>
      </c>
      <c r="AO70" s="45">
        <v>0.0</v>
      </c>
      <c r="AP70" s="45">
        <v>0.0</v>
      </c>
      <c r="AQ70" s="45">
        <v>0.0</v>
      </c>
      <c r="AR70" s="45">
        <v>0.0</v>
      </c>
      <c r="AS70" s="45">
        <v>0.0</v>
      </c>
      <c r="AT70" s="45">
        <v>0.0</v>
      </c>
      <c r="AU70" s="45">
        <v>0.0</v>
      </c>
      <c r="AV70" s="45">
        <v>0.0</v>
      </c>
      <c r="AW70" s="45">
        <v>0.0</v>
      </c>
      <c r="AX70" s="45">
        <v>0.0</v>
      </c>
      <c r="AY70" s="45">
        <v>0.0</v>
      </c>
      <c r="AZ70" s="45">
        <v>0.0</v>
      </c>
      <c r="BA70" s="45">
        <v>0.0</v>
      </c>
      <c r="BB70" s="45">
        <v>0.0</v>
      </c>
      <c r="BC70" s="45">
        <v>0.0</v>
      </c>
      <c r="BD70" s="45">
        <v>0.0</v>
      </c>
      <c r="BE70" s="45">
        <v>0.0</v>
      </c>
      <c r="BF70" s="45">
        <v>0.0</v>
      </c>
      <c r="BG70" s="45">
        <v>0.0</v>
      </c>
      <c r="BH70" s="45">
        <v>0.0</v>
      </c>
      <c r="BI70" s="45">
        <v>0.0</v>
      </c>
      <c r="BJ70" s="46">
        <v>0.0</v>
      </c>
    </row>
    <row r="71" ht="15.75" customHeight="1">
      <c r="A71" s="60" t="s">
        <v>60</v>
      </c>
      <c r="B71" s="54">
        <v>0.0</v>
      </c>
      <c r="C71" s="54">
        <v>0.0</v>
      </c>
      <c r="D71" s="54">
        <v>0.0</v>
      </c>
      <c r="E71" s="54">
        <v>0.0</v>
      </c>
      <c r="F71" s="54">
        <v>0.0</v>
      </c>
      <c r="G71" s="54">
        <v>0.0</v>
      </c>
      <c r="H71" s="54">
        <v>0.0</v>
      </c>
      <c r="I71" s="54">
        <v>0.0</v>
      </c>
      <c r="J71" s="54">
        <v>0.0</v>
      </c>
      <c r="K71" s="54">
        <v>0.0</v>
      </c>
      <c r="L71" s="54">
        <v>0.0</v>
      </c>
      <c r="M71" s="54">
        <v>0.0</v>
      </c>
      <c r="N71" s="54">
        <v>0.0</v>
      </c>
      <c r="O71" s="54">
        <v>0.0</v>
      </c>
      <c r="P71" s="54">
        <v>0.0</v>
      </c>
      <c r="Q71" s="54">
        <v>0.0</v>
      </c>
      <c r="R71" s="54">
        <v>0.0</v>
      </c>
      <c r="S71" s="54">
        <v>0.0</v>
      </c>
      <c r="T71" s="54">
        <v>0.0</v>
      </c>
      <c r="U71" s="54">
        <v>0.0</v>
      </c>
      <c r="V71" s="54">
        <v>0.0</v>
      </c>
      <c r="W71" s="54">
        <v>0.0</v>
      </c>
      <c r="X71" s="54">
        <v>0.0</v>
      </c>
      <c r="Y71" s="54">
        <v>0.0</v>
      </c>
      <c r="Z71" s="54">
        <v>0.0</v>
      </c>
      <c r="AA71" s="54">
        <v>0.0</v>
      </c>
      <c r="AB71" s="54">
        <v>0.0</v>
      </c>
      <c r="AC71" s="55">
        <v>0.0</v>
      </c>
      <c r="AD71" s="54">
        <v>3.0</v>
      </c>
      <c r="AE71" s="54">
        <v>1.0</v>
      </c>
      <c r="AF71" s="54">
        <v>0.0</v>
      </c>
      <c r="AG71" s="54">
        <v>2.0</v>
      </c>
      <c r="AH71" s="54">
        <v>2.0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0.0</v>
      </c>
      <c r="AW71" s="7">
        <v>0.0</v>
      </c>
      <c r="AX71" s="7">
        <v>0.0</v>
      </c>
      <c r="AY71" s="7">
        <v>0.0</v>
      </c>
      <c r="AZ71" s="7">
        <v>0.0</v>
      </c>
      <c r="BA71" s="7">
        <v>0.0</v>
      </c>
      <c r="BB71" s="7">
        <v>0.0</v>
      </c>
      <c r="BC71" s="7">
        <v>0.0</v>
      </c>
      <c r="BD71" s="7">
        <v>0.0</v>
      </c>
      <c r="BE71" s="7">
        <v>0.0</v>
      </c>
      <c r="BF71" s="7">
        <v>0.0</v>
      </c>
      <c r="BG71" s="7">
        <v>0.0</v>
      </c>
      <c r="BH71" s="7">
        <v>0.0</v>
      </c>
      <c r="BI71" s="7">
        <v>0.0</v>
      </c>
      <c r="BJ71" s="8">
        <v>0.0</v>
      </c>
    </row>
    <row r="72" ht="15.75" customHeight="1">
      <c r="A72" s="61" t="s">
        <v>65</v>
      </c>
      <c r="B72" s="54">
        <v>0.0</v>
      </c>
      <c r="C72" s="54">
        <v>0.0</v>
      </c>
      <c r="D72" s="54">
        <v>0.0</v>
      </c>
      <c r="E72" s="54">
        <v>0.0</v>
      </c>
      <c r="F72" s="54">
        <v>0.0</v>
      </c>
      <c r="G72" s="54">
        <v>0.0</v>
      </c>
      <c r="H72" s="54">
        <v>0.0</v>
      </c>
      <c r="I72" s="54">
        <v>0.0</v>
      </c>
      <c r="J72" s="54">
        <v>0.0</v>
      </c>
      <c r="K72" s="54">
        <v>0.0</v>
      </c>
      <c r="L72" s="54">
        <v>0.0</v>
      </c>
      <c r="M72" s="54">
        <v>0.0</v>
      </c>
      <c r="N72" s="54">
        <v>0.0</v>
      </c>
      <c r="O72" s="54">
        <v>0.0</v>
      </c>
      <c r="P72" s="54">
        <v>0.0</v>
      </c>
      <c r="Q72" s="54">
        <v>0.0</v>
      </c>
      <c r="R72" s="54">
        <v>0.0</v>
      </c>
      <c r="S72" s="54">
        <v>0.0</v>
      </c>
      <c r="T72" s="54">
        <v>0.0</v>
      </c>
      <c r="U72" s="54">
        <v>0.0</v>
      </c>
      <c r="V72" s="54">
        <v>0.0</v>
      </c>
      <c r="W72" s="54">
        <v>0.0</v>
      </c>
      <c r="X72" s="54">
        <v>0.0</v>
      </c>
      <c r="Y72" s="54">
        <v>0.0</v>
      </c>
      <c r="Z72" s="54">
        <v>0.0</v>
      </c>
      <c r="AA72" s="54">
        <v>0.0</v>
      </c>
      <c r="AB72" s="54">
        <v>0.0</v>
      </c>
      <c r="AC72" s="55">
        <v>0.0</v>
      </c>
      <c r="AD72" s="54">
        <v>0.0</v>
      </c>
      <c r="AE72" s="54">
        <v>0.0</v>
      </c>
      <c r="AF72" s="54">
        <v>0.0</v>
      </c>
      <c r="AG72" s="54">
        <v>0.0</v>
      </c>
      <c r="AH72" s="54">
        <v>0.0</v>
      </c>
      <c r="AI72" s="54">
        <v>0.0</v>
      </c>
      <c r="AJ72" s="54">
        <v>0.0</v>
      </c>
      <c r="AK72" s="54">
        <v>2.0</v>
      </c>
      <c r="AL72" s="54">
        <v>1.0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0.0</v>
      </c>
      <c r="AZ72" s="7">
        <v>0.0</v>
      </c>
      <c r="BA72" s="7">
        <v>0.0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  <c r="BJ72" s="8">
        <v>0.0</v>
      </c>
    </row>
    <row r="73" ht="15.75" customHeight="1">
      <c r="A73" s="61" t="s">
        <v>66</v>
      </c>
      <c r="B73" s="54">
        <v>0.0</v>
      </c>
      <c r="C73" s="54">
        <v>0.0</v>
      </c>
      <c r="D73" s="54">
        <v>0.0</v>
      </c>
      <c r="E73" s="54">
        <v>0.0</v>
      </c>
      <c r="F73" s="54">
        <v>0.0</v>
      </c>
      <c r="G73" s="54">
        <v>0.0</v>
      </c>
      <c r="H73" s="54">
        <v>0.0</v>
      </c>
      <c r="I73" s="54">
        <v>0.0</v>
      </c>
      <c r="J73" s="54">
        <v>0.0</v>
      </c>
      <c r="K73" s="54">
        <v>0.0</v>
      </c>
      <c r="L73" s="54">
        <v>0.0</v>
      </c>
      <c r="M73" s="54">
        <v>0.0</v>
      </c>
      <c r="N73" s="54">
        <v>0.0</v>
      </c>
      <c r="O73" s="54">
        <v>0.0</v>
      </c>
      <c r="P73" s="54">
        <v>0.0</v>
      </c>
      <c r="Q73" s="54">
        <v>0.0</v>
      </c>
      <c r="R73" s="54">
        <v>0.0</v>
      </c>
      <c r="S73" s="54">
        <v>0.0</v>
      </c>
      <c r="T73" s="54">
        <v>0.0</v>
      </c>
      <c r="U73" s="54">
        <v>0.0</v>
      </c>
      <c r="V73" s="54">
        <v>0.0</v>
      </c>
      <c r="W73" s="54">
        <v>0.0</v>
      </c>
      <c r="X73" s="54">
        <v>0.0</v>
      </c>
      <c r="Y73" s="54">
        <v>0.0</v>
      </c>
      <c r="Z73" s="54">
        <v>0.0</v>
      </c>
      <c r="AA73" s="54">
        <v>0.0</v>
      </c>
      <c r="AB73" s="54">
        <v>0.0</v>
      </c>
      <c r="AC73" s="55">
        <v>0.0</v>
      </c>
      <c r="AD73" s="54">
        <v>0.0</v>
      </c>
      <c r="AE73" s="54">
        <v>0.0</v>
      </c>
      <c r="AF73" s="54">
        <v>0.0</v>
      </c>
      <c r="AG73" s="54">
        <v>0.0</v>
      </c>
      <c r="AH73" s="54">
        <v>0.0</v>
      </c>
      <c r="AI73" s="54">
        <v>0.0</v>
      </c>
      <c r="AJ73" s="54">
        <v>0.0</v>
      </c>
      <c r="AK73" s="54">
        <v>0.0</v>
      </c>
      <c r="AL73" s="54">
        <v>2.0</v>
      </c>
      <c r="AM73" s="54">
        <v>0.0</v>
      </c>
      <c r="AN73" s="54">
        <v>0.0</v>
      </c>
      <c r="AO73" s="54">
        <v>2.0</v>
      </c>
      <c r="AP73" s="54">
        <v>1.0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0.0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  <c r="BJ73" s="8">
        <v>0.0</v>
      </c>
    </row>
    <row r="74" ht="15.75" customHeight="1">
      <c r="A74" s="61" t="s">
        <v>67</v>
      </c>
      <c r="B74" s="54">
        <v>0.0</v>
      </c>
      <c r="C74" s="54">
        <v>0.0</v>
      </c>
      <c r="D74" s="54">
        <v>0.0</v>
      </c>
      <c r="E74" s="54">
        <v>0.0</v>
      </c>
      <c r="F74" s="54">
        <v>0.0</v>
      </c>
      <c r="G74" s="54">
        <v>0.0</v>
      </c>
      <c r="H74" s="54">
        <v>0.0</v>
      </c>
      <c r="I74" s="54">
        <v>0.0</v>
      </c>
      <c r="J74" s="54">
        <v>0.0</v>
      </c>
      <c r="K74" s="54">
        <v>0.0</v>
      </c>
      <c r="L74" s="54">
        <v>0.0</v>
      </c>
      <c r="M74" s="54">
        <v>0.0</v>
      </c>
      <c r="N74" s="54">
        <v>0.0</v>
      </c>
      <c r="O74" s="54">
        <v>0.0</v>
      </c>
      <c r="P74" s="54">
        <v>0.0</v>
      </c>
      <c r="Q74" s="54">
        <v>0.0</v>
      </c>
      <c r="R74" s="54">
        <v>0.0</v>
      </c>
      <c r="S74" s="54">
        <v>0.0</v>
      </c>
      <c r="T74" s="54">
        <v>0.0</v>
      </c>
      <c r="U74" s="54">
        <v>0.0</v>
      </c>
      <c r="V74" s="54">
        <v>0.0</v>
      </c>
      <c r="W74" s="54">
        <v>0.0</v>
      </c>
      <c r="X74" s="54">
        <v>0.0</v>
      </c>
      <c r="Y74" s="54">
        <v>0.0</v>
      </c>
      <c r="Z74" s="54">
        <v>0.0</v>
      </c>
      <c r="AA74" s="54">
        <v>0.0</v>
      </c>
      <c r="AB74" s="54">
        <v>0.0</v>
      </c>
      <c r="AC74" s="55">
        <v>0.0</v>
      </c>
      <c r="AD74" s="54">
        <v>0.0</v>
      </c>
      <c r="AE74" s="54">
        <v>0.0</v>
      </c>
      <c r="AF74" s="54">
        <v>0.0</v>
      </c>
      <c r="AG74" s="54">
        <v>0.0</v>
      </c>
      <c r="AH74" s="54">
        <v>0.0</v>
      </c>
      <c r="AI74" s="54">
        <v>0.0</v>
      </c>
      <c r="AJ74" s="54">
        <v>0.0</v>
      </c>
      <c r="AK74" s="54">
        <v>0.0</v>
      </c>
      <c r="AL74" s="54">
        <v>0.0</v>
      </c>
      <c r="AM74" s="54">
        <v>1.0</v>
      </c>
      <c r="AN74" s="54">
        <v>0.0</v>
      </c>
      <c r="AO74" s="54">
        <v>0.0</v>
      </c>
      <c r="AP74" s="54">
        <v>0.0</v>
      </c>
      <c r="AQ74" s="54">
        <v>1.0</v>
      </c>
      <c r="AR74" s="7">
        <v>0.0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0.0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  <c r="BJ74" s="8">
        <v>0.0</v>
      </c>
    </row>
    <row r="75" ht="15.75" customHeight="1">
      <c r="A75" s="62" t="s">
        <v>68</v>
      </c>
      <c r="B75" s="58">
        <v>0.0</v>
      </c>
      <c r="C75" s="58">
        <v>0.0</v>
      </c>
      <c r="D75" s="58">
        <v>0.0</v>
      </c>
      <c r="E75" s="58">
        <v>0.0</v>
      </c>
      <c r="F75" s="58">
        <v>0.0</v>
      </c>
      <c r="G75" s="58">
        <v>0.0</v>
      </c>
      <c r="H75" s="58">
        <v>0.0</v>
      </c>
      <c r="I75" s="58">
        <v>0.0</v>
      </c>
      <c r="J75" s="58">
        <v>0.0</v>
      </c>
      <c r="K75" s="58">
        <v>0.0</v>
      </c>
      <c r="L75" s="58">
        <v>0.0</v>
      </c>
      <c r="M75" s="58">
        <v>0.0</v>
      </c>
      <c r="N75" s="58">
        <v>0.0</v>
      </c>
      <c r="O75" s="58">
        <v>0.0</v>
      </c>
      <c r="P75" s="58">
        <v>0.0</v>
      </c>
      <c r="Q75" s="58">
        <v>0.0</v>
      </c>
      <c r="R75" s="58">
        <v>0.0</v>
      </c>
      <c r="S75" s="58">
        <v>0.0</v>
      </c>
      <c r="T75" s="58">
        <v>0.0</v>
      </c>
      <c r="U75" s="58">
        <v>0.0</v>
      </c>
      <c r="V75" s="58">
        <v>0.0</v>
      </c>
      <c r="W75" s="58">
        <v>0.0</v>
      </c>
      <c r="X75" s="58">
        <v>0.0</v>
      </c>
      <c r="Y75" s="58">
        <v>0.0</v>
      </c>
      <c r="Z75" s="58">
        <v>0.0</v>
      </c>
      <c r="AA75" s="58">
        <v>0.0</v>
      </c>
      <c r="AB75" s="58">
        <v>0.0</v>
      </c>
      <c r="AC75" s="59">
        <v>0.0</v>
      </c>
      <c r="AD75" s="58">
        <v>0.0</v>
      </c>
      <c r="AE75" s="58">
        <v>0.0</v>
      </c>
      <c r="AF75" s="58">
        <v>0.0</v>
      </c>
      <c r="AG75" s="58">
        <v>0.0</v>
      </c>
      <c r="AH75" s="58">
        <v>0.0</v>
      </c>
      <c r="AI75" s="58">
        <v>0.0</v>
      </c>
      <c r="AJ75" s="58">
        <v>0.0</v>
      </c>
      <c r="AK75" s="58">
        <v>0.0</v>
      </c>
      <c r="AL75" s="58">
        <v>0.0</v>
      </c>
      <c r="AM75" s="58">
        <v>0.0</v>
      </c>
      <c r="AN75" s="58">
        <v>2.0</v>
      </c>
      <c r="AO75" s="58">
        <v>0.0</v>
      </c>
      <c r="AP75" s="58">
        <v>0.0</v>
      </c>
      <c r="AQ75" s="58">
        <v>2.0</v>
      </c>
      <c r="AR75" s="58">
        <v>1.0</v>
      </c>
      <c r="AS75" s="45">
        <v>0.0</v>
      </c>
      <c r="AT75" s="45">
        <v>0.0</v>
      </c>
      <c r="AU75" s="45">
        <v>0.0</v>
      </c>
      <c r="AV75" s="45">
        <v>0.0</v>
      </c>
      <c r="AW75" s="45">
        <v>0.0</v>
      </c>
      <c r="AX75" s="45">
        <v>0.0</v>
      </c>
      <c r="AY75" s="45">
        <v>0.0</v>
      </c>
      <c r="AZ75" s="45">
        <v>0.0</v>
      </c>
      <c r="BA75" s="45">
        <v>0.0</v>
      </c>
      <c r="BB75" s="45">
        <v>0.0</v>
      </c>
      <c r="BC75" s="45">
        <v>0.0</v>
      </c>
      <c r="BD75" s="45">
        <v>0.0</v>
      </c>
      <c r="BE75" s="45">
        <v>0.0</v>
      </c>
      <c r="BF75" s="45">
        <v>0.0</v>
      </c>
      <c r="BG75" s="45">
        <v>0.0</v>
      </c>
      <c r="BH75" s="45">
        <v>0.0</v>
      </c>
      <c r="BI75" s="45">
        <v>0.0</v>
      </c>
      <c r="BJ75" s="46">
        <v>0.0</v>
      </c>
    </row>
    <row r="76" ht="15.75" customHeight="1">
      <c r="A76" s="63" t="s">
        <v>60</v>
      </c>
      <c r="B76" s="54">
        <v>0.0</v>
      </c>
      <c r="C76" s="54">
        <v>0.0</v>
      </c>
      <c r="D76" s="54">
        <v>0.0</v>
      </c>
      <c r="E76" s="54">
        <v>0.0</v>
      </c>
      <c r="F76" s="54">
        <v>0.0</v>
      </c>
      <c r="G76" s="54">
        <v>0.0</v>
      </c>
      <c r="H76" s="54">
        <v>0.0</v>
      </c>
      <c r="I76" s="54">
        <v>0.0</v>
      </c>
      <c r="J76" s="54">
        <v>0.0</v>
      </c>
      <c r="K76" s="54">
        <v>0.0</v>
      </c>
      <c r="L76" s="54">
        <v>0.0</v>
      </c>
      <c r="M76" s="54">
        <v>0.0</v>
      </c>
      <c r="N76" s="54">
        <v>0.0</v>
      </c>
      <c r="O76" s="54">
        <v>0.0</v>
      </c>
      <c r="P76" s="54">
        <v>0.0</v>
      </c>
      <c r="Q76" s="54">
        <v>0.0</v>
      </c>
      <c r="R76" s="54">
        <v>0.0</v>
      </c>
      <c r="S76" s="54">
        <v>0.0</v>
      </c>
      <c r="T76" s="54">
        <v>0.0</v>
      </c>
      <c r="U76" s="54">
        <v>0.0</v>
      </c>
      <c r="V76" s="54">
        <v>0.0</v>
      </c>
      <c r="W76" s="54">
        <v>0.0</v>
      </c>
      <c r="X76" s="54">
        <v>0.0</v>
      </c>
      <c r="Y76" s="54">
        <v>0.0</v>
      </c>
      <c r="Z76" s="54">
        <v>0.0</v>
      </c>
      <c r="AA76" s="54">
        <v>0.0</v>
      </c>
      <c r="AB76" s="54">
        <v>0.0</v>
      </c>
      <c r="AC76" s="55">
        <v>0.0</v>
      </c>
      <c r="AD76" s="54">
        <v>3.0</v>
      </c>
      <c r="AE76" s="54">
        <v>3.0</v>
      </c>
      <c r="AF76" s="54">
        <v>1.0</v>
      </c>
      <c r="AG76" s="54">
        <v>1.0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  <c r="AV76" s="7">
        <v>0.0</v>
      </c>
      <c r="AW76" s="7">
        <v>0.0</v>
      </c>
      <c r="AX76" s="7">
        <v>0.0</v>
      </c>
      <c r="AY76" s="7">
        <v>0.0</v>
      </c>
      <c r="AZ76" s="7">
        <v>0.0</v>
      </c>
      <c r="BA76" s="7">
        <v>0.0</v>
      </c>
      <c r="BB76" s="7">
        <v>0.0</v>
      </c>
      <c r="BC76" s="7">
        <v>0.0</v>
      </c>
      <c r="BD76" s="7">
        <v>0.0</v>
      </c>
      <c r="BE76" s="7">
        <v>0.0</v>
      </c>
      <c r="BF76" s="7">
        <v>0.0</v>
      </c>
      <c r="BG76" s="7">
        <v>0.0</v>
      </c>
      <c r="BH76" s="7">
        <v>0.0</v>
      </c>
      <c r="BI76" s="7">
        <v>0.0</v>
      </c>
      <c r="BJ76" s="8">
        <v>0.0</v>
      </c>
    </row>
    <row r="77" ht="15.75" customHeight="1">
      <c r="A77" s="64" t="s">
        <v>69</v>
      </c>
      <c r="B77" s="54">
        <v>0.0</v>
      </c>
      <c r="C77" s="54">
        <v>0.0</v>
      </c>
      <c r="D77" s="54">
        <v>0.0</v>
      </c>
      <c r="E77" s="54">
        <v>0.0</v>
      </c>
      <c r="F77" s="54">
        <v>0.0</v>
      </c>
      <c r="G77" s="54">
        <v>0.0</v>
      </c>
      <c r="H77" s="54">
        <v>0.0</v>
      </c>
      <c r="I77" s="54">
        <v>0.0</v>
      </c>
      <c r="J77" s="54">
        <v>0.0</v>
      </c>
      <c r="K77" s="54">
        <v>0.0</v>
      </c>
      <c r="L77" s="54">
        <v>0.0</v>
      </c>
      <c r="M77" s="54">
        <v>0.0</v>
      </c>
      <c r="N77" s="54">
        <v>0.0</v>
      </c>
      <c r="O77" s="54">
        <v>0.0</v>
      </c>
      <c r="P77" s="54">
        <v>0.0</v>
      </c>
      <c r="Q77" s="54">
        <v>0.0</v>
      </c>
      <c r="R77" s="54">
        <v>0.0</v>
      </c>
      <c r="S77" s="54">
        <v>0.0</v>
      </c>
      <c r="T77" s="54">
        <v>0.0</v>
      </c>
      <c r="U77" s="54">
        <v>0.0</v>
      </c>
      <c r="V77" s="54">
        <v>0.0</v>
      </c>
      <c r="W77" s="54">
        <v>0.0</v>
      </c>
      <c r="X77" s="54">
        <v>0.0</v>
      </c>
      <c r="Y77" s="54">
        <v>0.0</v>
      </c>
      <c r="Z77" s="54">
        <v>0.0</v>
      </c>
      <c r="AA77" s="54">
        <v>0.0</v>
      </c>
      <c r="AB77" s="54">
        <v>0.0</v>
      </c>
      <c r="AC77" s="55">
        <v>0.0</v>
      </c>
      <c r="AD77" s="54">
        <v>0.0</v>
      </c>
      <c r="AE77" s="54">
        <v>0.0</v>
      </c>
      <c r="AF77" s="54">
        <v>0.0</v>
      </c>
      <c r="AG77" s="54">
        <v>0.0</v>
      </c>
      <c r="AH77" s="54">
        <v>6.0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0.0</v>
      </c>
      <c r="AZ77" s="7">
        <v>0.0</v>
      </c>
      <c r="BA77" s="7">
        <v>0.0</v>
      </c>
      <c r="BB77" s="7">
        <v>0.0</v>
      </c>
      <c r="BC77" s="7">
        <v>0.0</v>
      </c>
      <c r="BD77" s="7">
        <v>0.0</v>
      </c>
      <c r="BE77" s="7">
        <v>0.0</v>
      </c>
      <c r="BF77" s="7">
        <v>0.0</v>
      </c>
      <c r="BG77" s="7">
        <v>0.0</v>
      </c>
      <c r="BH77" s="7">
        <v>0.0</v>
      </c>
      <c r="BI77" s="7">
        <v>0.0</v>
      </c>
      <c r="BJ77" s="8">
        <v>0.0</v>
      </c>
    </row>
    <row r="78" ht="15.75" customHeight="1">
      <c r="A78" s="64" t="s">
        <v>70</v>
      </c>
      <c r="B78" s="54">
        <v>0.0</v>
      </c>
      <c r="C78" s="54">
        <v>0.0</v>
      </c>
      <c r="D78" s="54">
        <v>0.0</v>
      </c>
      <c r="E78" s="54">
        <v>0.0</v>
      </c>
      <c r="F78" s="54">
        <v>0.0</v>
      </c>
      <c r="G78" s="54">
        <v>0.0</v>
      </c>
      <c r="H78" s="54">
        <v>0.0</v>
      </c>
      <c r="I78" s="54">
        <v>0.0</v>
      </c>
      <c r="J78" s="54">
        <v>0.0</v>
      </c>
      <c r="K78" s="54">
        <v>0.0</v>
      </c>
      <c r="L78" s="54">
        <v>0.0</v>
      </c>
      <c r="M78" s="54">
        <v>0.0</v>
      </c>
      <c r="N78" s="54">
        <v>0.0</v>
      </c>
      <c r="O78" s="54">
        <v>0.0</v>
      </c>
      <c r="P78" s="54">
        <v>0.0</v>
      </c>
      <c r="Q78" s="54">
        <v>0.0</v>
      </c>
      <c r="R78" s="54">
        <v>0.0</v>
      </c>
      <c r="S78" s="54">
        <v>0.0</v>
      </c>
      <c r="T78" s="54">
        <v>0.0</v>
      </c>
      <c r="U78" s="54">
        <v>0.0</v>
      </c>
      <c r="V78" s="54">
        <v>0.0</v>
      </c>
      <c r="W78" s="54">
        <v>0.0</v>
      </c>
      <c r="X78" s="54">
        <v>0.0</v>
      </c>
      <c r="Y78" s="54">
        <v>0.0</v>
      </c>
      <c r="Z78" s="54">
        <v>0.0</v>
      </c>
      <c r="AA78" s="54">
        <v>0.0</v>
      </c>
      <c r="AB78" s="54">
        <v>0.0</v>
      </c>
      <c r="AC78" s="55">
        <v>0.0</v>
      </c>
      <c r="AD78" s="54">
        <v>0.0</v>
      </c>
      <c r="AE78" s="54">
        <v>0.0</v>
      </c>
      <c r="AF78" s="54">
        <v>0.0</v>
      </c>
      <c r="AG78" s="54">
        <v>0.0</v>
      </c>
      <c r="AH78" s="54">
        <v>0.0</v>
      </c>
      <c r="AI78" s="54">
        <v>3.0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0.0</v>
      </c>
      <c r="AY78" s="7">
        <v>0.0</v>
      </c>
      <c r="AZ78" s="7">
        <v>0.0</v>
      </c>
      <c r="BA78" s="7">
        <v>0.0</v>
      </c>
      <c r="BB78" s="7">
        <v>0.0</v>
      </c>
      <c r="BC78" s="7">
        <v>0.0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0.0</v>
      </c>
      <c r="BJ78" s="8">
        <v>0.0</v>
      </c>
    </row>
    <row r="79" ht="15.75" customHeight="1">
      <c r="A79" s="64" t="s">
        <v>71</v>
      </c>
      <c r="B79" s="54">
        <v>0.0</v>
      </c>
      <c r="C79" s="54">
        <v>0.0</v>
      </c>
      <c r="D79" s="54">
        <v>0.0</v>
      </c>
      <c r="E79" s="54">
        <v>0.0</v>
      </c>
      <c r="F79" s="54">
        <v>0.0</v>
      </c>
      <c r="G79" s="54">
        <v>0.0</v>
      </c>
      <c r="H79" s="54">
        <v>0.0</v>
      </c>
      <c r="I79" s="54">
        <v>0.0</v>
      </c>
      <c r="J79" s="54">
        <v>0.0</v>
      </c>
      <c r="K79" s="54">
        <v>0.0</v>
      </c>
      <c r="L79" s="54">
        <v>0.0</v>
      </c>
      <c r="M79" s="54">
        <v>0.0</v>
      </c>
      <c r="N79" s="54">
        <v>0.0</v>
      </c>
      <c r="O79" s="54">
        <v>0.0</v>
      </c>
      <c r="P79" s="54">
        <v>0.0</v>
      </c>
      <c r="Q79" s="54">
        <v>0.0</v>
      </c>
      <c r="R79" s="54">
        <v>0.0</v>
      </c>
      <c r="S79" s="54">
        <v>0.0</v>
      </c>
      <c r="T79" s="54">
        <v>0.0</v>
      </c>
      <c r="U79" s="54">
        <v>0.0</v>
      </c>
      <c r="V79" s="54">
        <v>0.0</v>
      </c>
      <c r="W79" s="54">
        <v>0.0</v>
      </c>
      <c r="X79" s="54">
        <v>0.0</v>
      </c>
      <c r="Y79" s="54">
        <v>0.0</v>
      </c>
      <c r="Z79" s="54">
        <v>0.0</v>
      </c>
      <c r="AA79" s="54">
        <v>0.0</v>
      </c>
      <c r="AB79" s="54">
        <v>0.0</v>
      </c>
      <c r="AC79" s="55">
        <v>0.0</v>
      </c>
      <c r="AD79" s="54">
        <v>0.0</v>
      </c>
      <c r="AE79" s="54">
        <v>0.0</v>
      </c>
      <c r="AF79" s="54">
        <v>0.0</v>
      </c>
      <c r="AG79" s="54">
        <v>0.0</v>
      </c>
      <c r="AH79" s="54">
        <v>0.0</v>
      </c>
      <c r="AI79" s="54">
        <v>0.0</v>
      </c>
      <c r="AJ79" s="54">
        <v>4.0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0.0</v>
      </c>
      <c r="BB79" s="7">
        <v>0.0</v>
      </c>
      <c r="BC79" s="7">
        <v>0.0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0.0</v>
      </c>
      <c r="BJ79" s="8">
        <v>0.0</v>
      </c>
    </row>
    <row r="80" ht="15.75" customHeight="1">
      <c r="A80" s="65" t="s">
        <v>72</v>
      </c>
      <c r="B80" s="58">
        <v>0.0</v>
      </c>
      <c r="C80" s="58">
        <v>0.0</v>
      </c>
      <c r="D80" s="58">
        <v>0.0</v>
      </c>
      <c r="E80" s="58">
        <v>0.0</v>
      </c>
      <c r="F80" s="58">
        <v>0.0</v>
      </c>
      <c r="G80" s="58">
        <v>0.0</v>
      </c>
      <c r="H80" s="58">
        <v>0.0</v>
      </c>
      <c r="I80" s="58">
        <v>0.0</v>
      </c>
      <c r="J80" s="58">
        <v>0.0</v>
      </c>
      <c r="K80" s="58">
        <v>0.0</v>
      </c>
      <c r="L80" s="58">
        <v>0.0</v>
      </c>
      <c r="M80" s="58">
        <v>0.0</v>
      </c>
      <c r="N80" s="58">
        <v>0.0</v>
      </c>
      <c r="O80" s="58">
        <v>0.0</v>
      </c>
      <c r="P80" s="58">
        <v>0.0</v>
      </c>
      <c r="Q80" s="58">
        <v>0.0</v>
      </c>
      <c r="R80" s="58">
        <v>0.0</v>
      </c>
      <c r="S80" s="58">
        <v>0.0</v>
      </c>
      <c r="T80" s="58">
        <v>0.0</v>
      </c>
      <c r="U80" s="58">
        <v>0.0</v>
      </c>
      <c r="V80" s="58">
        <v>0.0</v>
      </c>
      <c r="W80" s="58">
        <v>0.0</v>
      </c>
      <c r="X80" s="58">
        <v>0.0</v>
      </c>
      <c r="Y80" s="58">
        <v>0.0</v>
      </c>
      <c r="Z80" s="58">
        <v>0.0</v>
      </c>
      <c r="AA80" s="58">
        <v>0.0</v>
      </c>
      <c r="AB80" s="58">
        <v>0.0</v>
      </c>
      <c r="AC80" s="59">
        <v>0.0</v>
      </c>
      <c r="AD80" s="58">
        <v>0.0</v>
      </c>
      <c r="AE80" s="58">
        <v>0.0</v>
      </c>
      <c r="AF80" s="58">
        <v>0.0</v>
      </c>
      <c r="AG80" s="58">
        <v>0.0</v>
      </c>
      <c r="AH80" s="58">
        <v>0.0</v>
      </c>
      <c r="AI80" s="58">
        <v>0.0</v>
      </c>
      <c r="AJ80" s="58">
        <v>0.0</v>
      </c>
      <c r="AK80" s="58">
        <v>2.0</v>
      </c>
      <c r="AL80" s="45">
        <v>0.0</v>
      </c>
      <c r="AM80" s="45">
        <v>0.0</v>
      </c>
      <c r="AN80" s="45">
        <v>0.0</v>
      </c>
      <c r="AO80" s="45">
        <v>0.0</v>
      </c>
      <c r="AP80" s="45">
        <v>0.0</v>
      </c>
      <c r="AQ80" s="45">
        <v>0.0</v>
      </c>
      <c r="AR80" s="45">
        <v>0.0</v>
      </c>
      <c r="AS80" s="45">
        <v>0.0</v>
      </c>
      <c r="AT80" s="45">
        <v>0.0</v>
      </c>
      <c r="AU80" s="45">
        <v>0.0</v>
      </c>
      <c r="AV80" s="45">
        <v>0.0</v>
      </c>
      <c r="AW80" s="45">
        <v>0.0</v>
      </c>
      <c r="AX80" s="45">
        <v>0.0</v>
      </c>
      <c r="AY80" s="45">
        <v>0.0</v>
      </c>
      <c r="AZ80" s="45">
        <v>0.0</v>
      </c>
      <c r="BA80" s="45">
        <v>0.0</v>
      </c>
      <c r="BB80" s="45">
        <v>0.0</v>
      </c>
      <c r="BC80" s="45">
        <v>0.0</v>
      </c>
      <c r="BD80" s="45">
        <v>0.0</v>
      </c>
      <c r="BE80" s="45">
        <v>0.0</v>
      </c>
      <c r="BF80" s="45">
        <v>0.0</v>
      </c>
      <c r="BG80" s="45">
        <v>0.0</v>
      </c>
      <c r="BH80" s="45">
        <v>0.0</v>
      </c>
      <c r="BI80" s="45">
        <v>0.0</v>
      </c>
      <c r="BJ80" s="46">
        <v>0.0</v>
      </c>
    </row>
    <row r="81" ht="15.75" customHeight="1">
      <c r="A81" s="66" t="s">
        <v>60</v>
      </c>
      <c r="B81" s="54">
        <v>0.0</v>
      </c>
      <c r="C81" s="54">
        <v>0.0</v>
      </c>
      <c r="D81" s="54">
        <v>0.0</v>
      </c>
      <c r="E81" s="54">
        <v>0.0</v>
      </c>
      <c r="F81" s="54">
        <v>0.0</v>
      </c>
      <c r="G81" s="54">
        <v>0.0</v>
      </c>
      <c r="H81" s="54">
        <v>0.0</v>
      </c>
      <c r="I81" s="54">
        <v>0.0</v>
      </c>
      <c r="J81" s="54">
        <v>0.0</v>
      </c>
      <c r="K81" s="54">
        <v>0.0</v>
      </c>
      <c r="L81" s="54">
        <v>0.0</v>
      </c>
      <c r="M81" s="54">
        <v>0.0</v>
      </c>
      <c r="N81" s="54">
        <v>0.0</v>
      </c>
      <c r="O81" s="54">
        <v>0.0</v>
      </c>
      <c r="P81" s="54">
        <v>0.0</v>
      </c>
      <c r="Q81" s="54">
        <v>0.0</v>
      </c>
      <c r="R81" s="54">
        <v>0.0</v>
      </c>
      <c r="S81" s="54">
        <v>0.0</v>
      </c>
      <c r="T81" s="54">
        <v>0.0</v>
      </c>
      <c r="U81" s="54">
        <v>0.0</v>
      </c>
      <c r="V81" s="54">
        <v>0.0</v>
      </c>
      <c r="W81" s="54">
        <v>0.0</v>
      </c>
      <c r="X81" s="54">
        <v>0.0</v>
      </c>
      <c r="Y81" s="54">
        <v>0.0</v>
      </c>
      <c r="Z81" s="54">
        <v>0.0</v>
      </c>
      <c r="AA81" s="54">
        <v>0.0</v>
      </c>
      <c r="AB81" s="54">
        <v>0.0</v>
      </c>
      <c r="AC81" s="55">
        <v>0.0</v>
      </c>
      <c r="AD81" s="54">
        <v>2.0</v>
      </c>
      <c r="AE81" s="54">
        <v>5.0</v>
      </c>
      <c r="AF81" s="7">
        <v>0.0</v>
      </c>
      <c r="AG81" s="7">
        <v>0.0</v>
      </c>
      <c r="AH81" s="7">
        <v>0.0</v>
      </c>
      <c r="AI81" s="7">
        <v>0.0</v>
      </c>
      <c r="AJ81" s="7">
        <v>0.0</v>
      </c>
      <c r="AK81" s="7">
        <v>0.0</v>
      </c>
      <c r="AL81" s="7">
        <v>0.0</v>
      </c>
      <c r="AM81" s="7">
        <v>0.0</v>
      </c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  <c r="AV81" s="7">
        <v>0.0</v>
      </c>
      <c r="AW81" s="7">
        <v>0.0</v>
      </c>
      <c r="AX81" s="7">
        <v>0.0</v>
      </c>
      <c r="AY81" s="7">
        <v>0.0</v>
      </c>
      <c r="AZ81" s="7">
        <v>0.0</v>
      </c>
      <c r="BA81" s="7">
        <v>0.0</v>
      </c>
      <c r="BB81" s="7">
        <v>0.0</v>
      </c>
      <c r="BC81" s="7">
        <v>0.0</v>
      </c>
      <c r="BD81" s="7">
        <v>0.0</v>
      </c>
      <c r="BE81" s="7">
        <v>0.0</v>
      </c>
      <c r="BF81" s="7">
        <v>0.0</v>
      </c>
      <c r="BG81" s="7">
        <v>0.0</v>
      </c>
      <c r="BH81" s="7">
        <v>0.0</v>
      </c>
      <c r="BI81" s="7">
        <v>0.0</v>
      </c>
      <c r="BJ81" s="8">
        <v>0.0</v>
      </c>
    </row>
    <row r="82" ht="15.75" customHeight="1">
      <c r="A82" s="67" t="s">
        <v>73</v>
      </c>
      <c r="B82" s="54">
        <v>0.0</v>
      </c>
      <c r="C82" s="54">
        <v>0.0</v>
      </c>
      <c r="D82" s="54">
        <v>0.0</v>
      </c>
      <c r="E82" s="54">
        <v>0.0</v>
      </c>
      <c r="F82" s="54">
        <v>0.0</v>
      </c>
      <c r="G82" s="54">
        <v>0.0</v>
      </c>
      <c r="H82" s="54">
        <v>0.0</v>
      </c>
      <c r="I82" s="54">
        <v>0.0</v>
      </c>
      <c r="J82" s="54">
        <v>0.0</v>
      </c>
      <c r="K82" s="54">
        <v>0.0</v>
      </c>
      <c r="L82" s="54">
        <v>0.0</v>
      </c>
      <c r="M82" s="54">
        <v>0.0</v>
      </c>
      <c r="N82" s="54">
        <v>0.0</v>
      </c>
      <c r="O82" s="54">
        <v>0.0</v>
      </c>
      <c r="P82" s="54">
        <v>0.0</v>
      </c>
      <c r="Q82" s="54">
        <v>0.0</v>
      </c>
      <c r="R82" s="54">
        <v>0.0</v>
      </c>
      <c r="S82" s="54">
        <v>0.0</v>
      </c>
      <c r="T82" s="54">
        <v>0.0</v>
      </c>
      <c r="U82" s="54">
        <v>0.0</v>
      </c>
      <c r="V82" s="54">
        <v>0.0</v>
      </c>
      <c r="W82" s="54">
        <v>0.0</v>
      </c>
      <c r="X82" s="54">
        <v>0.0</v>
      </c>
      <c r="Y82" s="54">
        <v>0.0</v>
      </c>
      <c r="Z82" s="54">
        <v>0.0</v>
      </c>
      <c r="AA82" s="54">
        <v>0.0</v>
      </c>
      <c r="AB82" s="54">
        <v>0.0</v>
      </c>
      <c r="AC82" s="55">
        <v>0.0</v>
      </c>
      <c r="AD82" s="54">
        <v>0.0</v>
      </c>
      <c r="AE82" s="54">
        <v>0.0</v>
      </c>
      <c r="AF82" s="54">
        <v>1.0</v>
      </c>
      <c r="AG82" s="54">
        <v>1.0</v>
      </c>
      <c r="AH82" s="54">
        <v>3.0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0.0</v>
      </c>
      <c r="BB82" s="7">
        <v>0.0</v>
      </c>
      <c r="BC82" s="7">
        <v>0.0</v>
      </c>
      <c r="BD82" s="7">
        <v>0.0</v>
      </c>
      <c r="BE82" s="7">
        <v>0.0</v>
      </c>
      <c r="BF82" s="7">
        <v>0.0</v>
      </c>
      <c r="BG82" s="7">
        <v>0.0</v>
      </c>
      <c r="BH82" s="7">
        <v>0.0</v>
      </c>
      <c r="BI82" s="7">
        <v>0.0</v>
      </c>
      <c r="BJ82" s="8">
        <v>0.0</v>
      </c>
    </row>
    <row r="83" ht="15.75" customHeight="1">
      <c r="A83" s="67" t="s">
        <v>74</v>
      </c>
      <c r="B83" s="54">
        <v>0.0</v>
      </c>
      <c r="C83" s="54">
        <v>0.0</v>
      </c>
      <c r="D83" s="54">
        <v>0.0</v>
      </c>
      <c r="E83" s="54">
        <v>0.0</v>
      </c>
      <c r="F83" s="54">
        <v>0.0</v>
      </c>
      <c r="G83" s="54">
        <v>0.0</v>
      </c>
      <c r="H83" s="54">
        <v>0.0</v>
      </c>
      <c r="I83" s="54">
        <v>0.0</v>
      </c>
      <c r="J83" s="54">
        <v>0.0</v>
      </c>
      <c r="K83" s="54">
        <v>0.0</v>
      </c>
      <c r="L83" s="54">
        <v>0.0</v>
      </c>
      <c r="M83" s="54">
        <v>0.0</v>
      </c>
      <c r="N83" s="54">
        <v>0.0</v>
      </c>
      <c r="O83" s="54">
        <v>0.0</v>
      </c>
      <c r="P83" s="54">
        <v>0.0</v>
      </c>
      <c r="Q83" s="54">
        <v>0.0</v>
      </c>
      <c r="R83" s="54">
        <v>0.0</v>
      </c>
      <c r="S83" s="54">
        <v>0.0</v>
      </c>
      <c r="T83" s="54">
        <v>0.0</v>
      </c>
      <c r="U83" s="54">
        <v>0.0</v>
      </c>
      <c r="V83" s="54">
        <v>0.0</v>
      </c>
      <c r="W83" s="54">
        <v>0.0</v>
      </c>
      <c r="X83" s="54">
        <v>0.0</v>
      </c>
      <c r="Y83" s="54">
        <v>0.0</v>
      </c>
      <c r="Z83" s="54">
        <v>0.0</v>
      </c>
      <c r="AA83" s="54">
        <v>0.0</v>
      </c>
      <c r="AB83" s="54">
        <v>0.0</v>
      </c>
      <c r="AC83" s="55">
        <v>0.0</v>
      </c>
      <c r="AD83" s="54">
        <v>0.0</v>
      </c>
      <c r="AE83" s="54">
        <v>0.0</v>
      </c>
      <c r="AF83" s="54">
        <v>0.0</v>
      </c>
      <c r="AG83" s="54">
        <v>1.0</v>
      </c>
      <c r="AH83" s="54">
        <v>0.0</v>
      </c>
      <c r="AI83" s="54">
        <v>4.0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0.0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7">
        <v>0.0</v>
      </c>
      <c r="BI83" s="7">
        <v>0.0</v>
      </c>
      <c r="BJ83" s="8">
        <v>0.0</v>
      </c>
    </row>
    <row r="84" ht="15.75" customHeight="1">
      <c r="A84" s="67" t="s">
        <v>75</v>
      </c>
      <c r="B84" s="54">
        <v>0.0</v>
      </c>
      <c r="C84" s="54">
        <v>0.0</v>
      </c>
      <c r="D84" s="54">
        <v>0.0</v>
      </c>
      <c r="E84" s="54">
        <v>0.0</v>
      </c>
      <c r="F84" s="54">
        <v>0.0</v>
      </c>
      <c r="G84" s="54">
        <v>0.0</v>
      </c>
      <c r="H84" s="54">
        <v>0.0</v>
      </c>
      <c r="I84" s="54">
        <v>0.0</v>
      </c>
      <c r="J84" s="54">
        <v>0.0</v>
      </c>
      <c r="K84" s="54">
        <v>0.0</v>
      </c>
      <c r="L84" s="54">
        <v>0.0</v>
      </c>
      <c r="M84" s="54">
        <v>0.0</v>
      </c>
      <c r="N84" s="54">
        <v>0.0</v>
      </c>
      <c r="O84" s="54">
        <v>0.0</v>
      </c>
      <c r="P84" s="54">
        <v>0.0</v>
      </c>
      <c r="Q84" s="54">
        <v>0.0</v>
      </c>
      <c r="R84" s="54">
        <v>0.0</v>
      </c>
      <c r="S84" s="54">
        <v>0.0</v>
      </c>
      <c r="T84" s="54">
        <v>0.0</v>
      </c>
      <c r="U84" s="54">
        <v>0.0</v>
      </c>
      <c r="V84" s="54">
        <v>0.0</v>
      </c>
      <c r="W84" s="54">
        <v>0.0</v>
      </c>
      <c r="X84" s="54">
        <v>0.0</v>
      </c>
      <c r="Y84" s="54">
        <v>0.0</v>
      </c>
      <c r="Z84" s="54">
        <v>0.0</v>
      </c>
      <c r="AA84" s="54">
        <v>0.0</v>
      </c>
      <c r="AB84" s="54">
        <v>0.0</v>
      </c>
      <c r="AC84" s="55">
        <v>0.0</v>
      </c>
      <c r="AD84" s="54">
        <v>0.0</v>
      </c>
      <c r="AE84" s="54">
        <v>0.0</v>
      </c>
      <c r="AF84" s="54">
        <v>0.0</v>
      </c>
      <c r="AG84" s="54">
        <v>0.0</v>
      </c>
      <c r="AH84" s="54">
        <v>1.0</v>
      </c>
      <c r="AI84" s="54">
        <v>3.0</v>
      </c>
      <c r="AJ84" s="54">
        <v>2.0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0.0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  <c r="BJ84" s="8">
        <v>0.0</v>
      </c>
    </row>
    <row r="85" ht="15.75" customHeight="1">
      <c r="A85" s="68" t="s">
        <v>76</v>
      </c>
      <c r="B85" s="58">
        <v>0.0</v>
      </c>
      <c r="C85" s="58">
        <v>0.0</v>
      </c>
      <c r="D85" s="58">
        <v>0.0</v>
      </c>
      <c r="E85" s="58">
        <v>0.0</v>
      </c>
      <c r="F85" s="58">
        <v>0.0</v>
      </c>
      <c r="G85" s="58">
        <v>0.0</v>
      </c>
      <c r="H85" s="58">
        <v>0.0</v>
      </c>
      <c r="I85" s="58">
        <v>0.0</v>
      </c>
      <c r="J85" s="58">
        <v>0.0</v>
      </c>
      <c r="K85" s="58">
        <v>0.0</v>
      </c>
      <c r="L85" s="58">
        <v>0.0</v>
      </c>
      <c r="M85" s="58">
        <v>0.0</v>
      </c>
      <c r="N85" s="58">
        <v>0.0</v>
      </c>
      <c r="O85" s="58">
        <v>0.0</v>
      </c>
      <c r="P85" s="58">
        <v>0.0</v>
      </c>
      <c r="Q85" s="58">
        <v>0.0</v>
      </c>
      <c r="R85" s="58">
        <v>0.0</v>
      </c>
      <c r="S85" s="58">
        <v>0.0</v>
      </c>
      <c r="T85" s="58">
        <v>0.0</v>
      </c>
      <c r="U85" s="58">
        <v>0.0</v>
      </c>
      <c r="V85" s="58">
        <v>0.0</v>
      </c>
      <c r="W85" s="58">
        <v>0.0</v>
      </c>
      <c r="X85" s="58">
        <v>0.0</v>
      </c>
      <c r="Y85" s="58">
        <v>0.0</v>
      </c>
      <c r="Z85" s="58">
        <v>0.0</v>
      </c>
      <c r="AA85" s="58">
        <v>0.0</v>
      </c>
      <c r="AB85" s="58">
        <v>0.0</v>
      </c>
      <c r="AC85" s="59">
        <v>0.0</v>
      </c>
      <c r="AD85" s="58">
        <v>0.0</v>
      </c>
      <c r="AE85" s="58">
        <v>0.0</v>
      </c>
      <c r="AF85" s="58">
        <v>0.0</v>
      </c>
      <c r="AG85" s="58">
        <v>0.0</v>
      </c>
      <c r="AH85" s="58">
        <v>0.0</v>
      </c>
      <c r="AI85" s="58">
        <v>1.0</v>
      </c>
      <c r="AJ85" s="58">
        <v>1.0</v>
      </c>
      <c r="AK85" s="58">
        <v>1.0</v>
      </c>
      <c r="AL85" s="45">
        <v>0.0</v>
      </c>
      <c r="AM85" s="45">
        <v>0.0</v>
      </c>
      <c r="AN85" s="45">
        <v>0.0</v>
      </c>
      <c r="AO85" s="45">
        <v>0.0</v>
      </c>
      <c r="AP85" s="45">
        <v>0.0</v>
      </c>
      <c r="AQ85" s="45">
        <v>0.0</v>
      </c>
      <c r="AR85" s="45">
        <v>0.0</v>
      </c>
      <c r="AS85" s="45">
        <v>0.0</v>
      </c>
      <c r="AT85" s="45">
        <v>0.0</v>
      </c>
      <c r="AU85" s="45">
        <v>0.0</v>
      </c>
      <c r="AV85" s="45">
        <v>0.0</v>
      </c>
      <c r="AW85" s="45">
        <v>0.0</v>
      </c>
      <c r="AX85" s="45">
        <v>0.0</v>
      </c>
      <c r="AY85" s="45">
        <v>0.0</v>
      </c>
      <c r="AZ85" s="45">
        <v>0.0</v>
      </c>
      <c r="BA85" s="45">
        <v>0.0</v>
      </c>
      <c r="BB85" s="45">
        <v>0.0</v>
      </c>
      <c r="BC85" s="45">
        <v>0.0</v>
      </c>
      <c r="BD85" s="45">
        <v>0.0</v>
      </c>
      <c r="BE85" s="45">
        <v>0.0</v>
      </c>
      <c r="BF85" s="45">
        <v>0.0</v>
      </c>
      <c r="BG85" s="45">
        <v>0.0</v>
      </c>
      <c r="BH85" s="45">
        <v>0.0</v>
      </c>
      <c r="BI85" s="45">
        <v>0.0</v>
      </c>
      <c r="BJ85" s="46">
        <v>0.0</v>
      </c>
    </row>
    <row r="86" ht="15.75" customHeight="1">
      <c r="A86" s="69" t="s">
        <v>60</v>
      </c>
      <c r="B86" s="54">
        <v>0.0</v>
      </c>
      <c r="C86" s="54">
        <v>0.0</v>
      </c>
      <c r="D86" s="54">
        <v>0.0</v>
      </c>
      <c r="E86" s="54">
        <v>0.0</v>
      </c>
      <c r="F86" s="54">
        <v>0.0</v>
      </c>
      <c r="G86" s="54">
        <v>0.0</v>
      </c>
      <c r="H86" s="54">
        <v>0.0</v>
      </c>
      <c r="I86" s="54">
        <v>0.0</v>
      </c>
      <c r="J86" s="54">
        <v>0.0</v>
      </c>
      <c r="K86" s="54">
        <v>0.0</v>
      </c>
      <c r="L86" s="54">
        <v>0.0</v>
      </c>
      <c r="M86" s="54">
        <v>0.0</v>
      </c>
      <c r="N86" s="54">
        <v>0.0</v>
      </c>
      <c r="O86" s="54">
        <v>0.0</v>
      </c>
      <c r="P86" s="54">
        <v>0.0</v>
      </c>
      <c r="Q86" s="54">
        <v>0.0</v>
      </c>
      <c r="R86" s="54">
        <v>0.0</v>
      </c>
      <c r="S86" s="54">
        <v>0.0</v>
      </c>
      <c r="T86" s="54">
        <v>0.0</v>
      </c>
      <c r="U86" s="54">
        <v>0.0</v>
      </c>
      <c r="V86" s="54">
        <v>0.0</v>
      </c>
      <c r="W86" s="54">
        <v>0.0</v>
      </c>
      <c r="X86" s="54">
        <v>0.0</v>
      </c>
      <c r="Y86" s="54">
        <v>0.0</v>
      </c>
      <c r="Z86" s="54">
        <v>0.0</v>
      </c>
      <c r="AA86" s="54">
        <v>0.0</v>
      </c>
      <c r="AB86" s="54">
        <v>0.0</v>
      </c>
      <c r="AC86" s="55">
        <v>0.0</v>
      </c>
      <c r="AD86" s="54">
        <v>3.0</v>
      </c>
      <c r="AE86" s="54">
        <v>9.0</v>
      </c>
      <c r="AF86" s="7">
        <v>0.0</v>
      </c>
      <c r="AG86" s="7">
        <v>0.0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  <c r="AU86" s="7">
        <v>0.0</v>
      </c>
      <c r="AV86" s="7">
        <v>0.0</v>
      </c>
      <c r="AW86" s="7">
        <v>0.0</v>
      </c>
      <c r="AX86" s="7">
        <v>0.0</v>
      </c>
      <c r="AY86" s="7">
        <v>0.0</v>
      </c>
      <c r="AZ86" s="7">
        <v>0.0</v>
      </c>
      <c r="BA86" s="7">
        <v>0.0</v>
      </c>
      <c r="BB86" s="7">
        <v>0.0</v>
      </c>
      <c r="BC86" s="7">
        <v>0.0</v>
      </c>
      <c r="BD86" s="7">
        <v>0.0</v>
      </c>
      <c r="BE86" s="7">
        <v>0.0</v>
      </c>
      <c r="BF86" s="7">
        <v>0.0</v>
      </c>
      <c r="BG86" s="7">
        <v>0.0</v>
      </c>
      <c r="BH86" s="7">
        <v>0.0</v>
      </c>
      <c r="BI86" s="7">
        <v>0.0</v>
      </c>
      <c r="BJ86" s="8">
        <v>0.0</v>
      </c>
    </row>
    <row r="87" ht="15.75" customHeight="1">
      <c r="A87" s="70" t="s">
        <v>77</v>
      </c>
      <c r="B87" s="54">
        <v>0.0</v>
      </c>
      <c r="C87" s="54">
        <v>0.0</v>
      </c>
      <c r="D87" s="54">
        <v>0.0</v>
      </c>
      <c r="E87" s="54">
        <v>0.0</v>
      </c>
      <c r="F87" s="54">
        <v>0.0</v>
      </c>
      <c r="G87" s="54">
        <v>0.0</v>
      </c>
      <c r="H87" s="54">
        <v>0.0</v>
      </c>
      <c r="I87" s="54">
        <v>0.0</v>
      </c>
      <c r="J87" s="54">
        <v>0.0</v>
      </c>
      <c r="K87" s="54">
        <v>0.0</v>
      </c>
      <c r="L87" s="54">
        <v>0.0</v>
      </c>
      <c r="M87" s="54">
        <v>0.0</v>
      </c>
      <c r="N87" s="54">
        <v>0.0</v>
      </c>
      <c r="O87" s="54">
        <v>0.0</v>
      </c>
      <c r="P87" s="54">
        <v>0.0</v>
      </c>
      <c r="Q87" s="54">
        <v>0.0</v>
      </c>
      <c r="R87" s="54">
        <v>0.0</v>
      </c>
      <c r="S87" s="54">
        <v>0.0</v>
      </c>
      <c r="T87" s="54">
        <v>0.0</v>
      </c>
      <c r="U87" s="54">
        <v>0.0</v>
      </c>
      <c r="V87" s="54">
        <v>0.0</v>
      </c>
      <c r="W87" s="54">
        <v>0.0</v>
      </c>
      <c r="X87" s="54">
        <v>0.0</v>
      </c>
      <c r="Y87" s="54">
        <v>0.0</v>
      </c>
      <c r="Z87" s="54">
        <v>0.0</v>
      </c>
      <c r="AA87" s="54">
        <v>0.0</v>
      </c>
      <c r="AB87" s="54">
        <v>0.0</v>
      </c>
      <c r="AC87" s="55">
        <v>0.0</v>
      </c>
      <c r="AD87" s="54">
        <v>0.0</v>
      </c>
      <c r="AE87" s="54">
        <v>0.0</v>
      </c>
      <c r="AF87" s="54">
        <v>0.0</v>
      </c>
      <c r="AG87" s="54">
        <v>2.0</v>
      </c>
      <c r="AH87" s="54">
        <v>4.0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0.0</v>
      </c>
      <c r="BD87" s="7">
        <v>0.0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  <c r="BJ87" s="8">
        <v>0.0</v>
      </c>
    </row>
    <row r="88" ht="15.75" customHeight="1">
      <c r="A88" s="70" t="s">
        <v>78</v>
      </c>
      <c r="B88" s="54">
        <v>0.0</v>
      </c>
      <c r="C88" s="54">
        <v>0.0</v>
      </c>
      <c r="D88" s="54">
        <v>0.0</v>
      </c>
      <c r="E88" s="54">
        <v>0.0</v>
      </c>
      <c r="F88" s="54">
        <v>0.0</v>
      </c>
      <c r="G88" s="54">
        <v>0.0</v>
      </c>
      <c r="H88" s="54">
        <v>0.0</v>
      </c>
      <c r="I88" s="54">
        <v>0.0</v>
      </c>
      <c r="J88" s="54">
        <v>0.0</v>
      </c>
      <c r="K88" s="54">
        <v>0.0</v>
      </c>
      <c r="L88" s="54">
        <v>0.0</v>
      </c>
      <c r="M88" s="54">
        <v>0.0</v>
      </c>
      <c r="N88" s="54">
        <v>0.0</v>
      </c>
      <c r="O88" s="54">
        <v>0.0</v>
      </c>
      <c r="P88" s="54">
        <v>0.0</v>
      </c>
      <c r="Q88" s="54">
        <v>0.0</v>
      </c>
      <c r="R88" s="54">
        <v>0.0</v>
      </c>
      <c r="S88" s="54">
        <v>0.0</v>
      </c>
      <c r="T88" s="54">
        <v>0.0</v>
      </c>
      <c r="U88" s="54">
        <v>0.0</v>
      </c>
      <c r="V88" s="54">
        <v>0.0</v>
      </c>
      <c r="W88" s="54">
        <v>0.0</v>
      </c>
      <c r="X88" s="54">
        <v>0.0</v>
      </c>
      <c r="Y88" s="54">
        <v>0.0</v>
      </c>
      <c r="Z88" s="54">
        <v>0.0</v>
      </c>
      <c r="AA88" s="54">
        <v>0.0</v>
      </c>
      <c r="AB88" s="54">
        <v>0.0</v>
      </c>
      <c r="AC88" s="55">
        <v>0.0</v>
      </c>
      <c r="AD88" s="54">
        <v>0.0</v>
      </c>
      <c r="AE88" s="54">
        <v>0.0</v>
      </c>
      <c r="AF88" s="54">
        <v>0.0</v>
      </c>
      <c r="AG88" s="54">
        <v>0.0</v>
      </c>
      <c r="AH88" s="54">
        <v>2.0</v>
      </c>
      <c r="AI88" s="54">
        <v>3.0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0.0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  <c r="BJ88" s="8">
        <v>0.0</v>
      </c>
    </row>
    <row r="89" ht="15.75" customHeight="1">
      <c r="A89" s="70" t="s">
        <v>79</v>
      </c>
      <c r="B89" s="54">
        <v>0.0</v>
      </c>
      <c r="C89" s="54">
        <v>0.0</v>
      </c>
      <c r="D89" s="54">
        <v>0.0</v>
      </c>
      <c r="E89" s="54">
        <v>0.0</v>
      </c>
      <c r="F89" s="54">
        <v>0.0</v>
      </c>
      <c r="G89" s="54">
        <v>0.0</v>
      </c>
      <c r="H89" s="54">
        <v>0.0</v>
      </c>
      <c r="I89" s="54">
        <v>0.0</v>
      </c>
      <c r="J89" s="54">
        <v>0.0</v>
      </c>
      <c r="K89" s="54">
        <v>0.0</v>
      </c>
      <c r="L89" s="54">
        <v>0.0</v>
      </c>
      <c r="M89" s="54">
        <v>0.0</v>
      </c>
      <c r="N89" s="54">
        <v>0.0</v>
      </c>
      <c r="O89" s="54">
        <v>0.0</v>
      </c>
      <c r="P89" s="54">
        <v>0.0</v>
      </c>
      <c r="Q89" s="54">
        <v>0.0</v>
      </c>
      <c r="R89" s="54">
        <v>0.0</v>
      </c>
      <c r="S89" s="54">
        <v>0.0</v>
      </c>
      <c r="T89" s="54">
        <v>0.0</v>
      </c>
      <c r="U89" s="54">
        <v>0.0</v>
      </c>
      <c r="V89" s="54">
        <v>0.0</v>
      </c>
      <c r="W89" s="54">
        <v>0.0</v>
      </c>
      <c r="X89" s="54">
        <v>0.0</v>
      </c>
      <c r="Y89" s="54">
        <v>0.0</v>
      </c>
      <c r="Z89" s="54">
        <v>0.0</v>
      </c>
      <c r="AA89" s="54">
        <v>0.0</v>
      </c>
      <c r="AB89" s="54">
        <v>0.0</v>
      </c>
      <c r="AC89" s="55">
        <v>0.0</v>
      </c>
      <c r="AD89" s="54">
        <v>0.0</v>
      </c>
      <c r="AE89" s="54">
        <v>0.0</v>
      </c>
      <c r="AF89" s="54">
        <v>0.0</v>
      </c>
      <c r="AG89" s="54">
        <v>0.0</v>
      </c>
      <c r="AH89" s="54">
        <v>0.0</v>
      </c>
      <c r="AI89" s="54">
        <v>1.0</v>
      </c>
      <c r="AJ89" s="54">
        <v>2.0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  <c r="BJ89" s="8">
        <v>0.0</v>
      </c>
    </row>
    <row r="90" ht="15.75" customHeight="1">
      <c r="A90" s="71" t="s">
        <v>80</v>
      </c>
      <c r="B90" s="58">
        <v>0.0</v>
      </c>
      <c r="C90" s="58">
        <v>0.0</v>
      </c>
      <c r="D90" s="58">
        <v>0.0</v>
      </c>
      <c r="E90" s="58">
        <v>0.0</v>
      </c>
      <c r="F90" s="58">
        <v>0.0</v>
      </c>
      <c r="G90" s="58">
        <v>0.0</v>
      </c>
      <c r="H90" s="58">
        <v>0.0</v>
      </c>
      <c r="I90" s="58">
        <v>0.0</v>
      </c>
      <c r="J90" s="58">
        <v>0.0</v>
      </c>
      <c r="K90" s="58">
        <v>0.0</v>
      </c>
      <c r="L90" s="58">
        <v>0.0</v>
      </c>
      <c r="M90" s="58">
        <v>0.0</v>
      </c>
      <c r="N90" s="58">
        <v>0.0</v>
      </c>
      <c r="O90" s="58">
        <v>0.0</v>
      </c>
      <c r="P90" s="58">
        <v>0.0</v>
      </c>
      <c r="Q90" s="58">
        <v>0.0</v>
      </c>
      <c r="R90" s="58">
        <v>0.0</v>
      </c>
      <c r="S90" s="58">
        <v>0.0</v>
      </c>
      <c r="T90" s="58">
        <v>0.0</v>
      </c>
      <c r="U90" s="58">
        <v>0.0</v>
      </c>
      <c r="V90" s="58">
        <v>0.0</v>
      </c>
      <c r="W90" s="58">
        <v>0.0</v>
      </c>
      <c r="X90" s="58">
        <v>0.0</v>
      </c>
      <c r="Y90" s="58">
        <v>0.0</v>
      </c>
      <c r="Z90" s="58">
        <v>0.0</v>
      </c>
      <c r="AA90" s="58">
        <v>0.0</v>
      </c>
      <c r="AB90" s="58">
        <v>0.0</v>
      </c>
      <c r="AC90" s="59">
        <v>0.0</v>
      </c>
      <c r="AD90" s="58">
        <v>0.0</v>
      </c>
      <c r="AE90" s="58">
        <v>0.0</v>
      </c>
      <c r="AF90" s="58">
        <v>0.0</v>
      </c>
      <c r="AG90" s="58">
        <v>0.0</v>
      </c>
      <c r="AH90" s="58">
        <v>0.0</v>
      </c>
      <c r="AI90" s="58">
        <v>0.0</v>
      </c>
      <c r="AJ90" s="58">
        <v>2.0</v>
      </c>
      <c r="AK90" s="58">
        <v>3.0</v>
      </c>
      <c r="AL90" s="45">
        <v>0.0</v>
      </c>
      <c r="AM90" s="45">
        <v>0.0</v>
      </c>
      <c r="AN90" s="45">
        <v>0.0</v>
      </c>
      <c r="AO90" s="45">
        <v>0.0</v>
      </c>
      <c r="AP90" s="45">
        <v>0.0</v>
      </c>
      <c r="AQ90" s="45">
        <v>0.0</v>
      </c>
      <c r="AR90" s="45">
        <v>0.0</v>
      </c>
      <c r="AS90" s="45">
        <v>0.0</v>
      </c>
      <c r="AT90" s="45">
        <v>0.0</v>
      </c>
      <c r="AU90" s="45">
        <v>0.0</v>
      </c>
      <c r="AV90" s="45">
        <v>0.0</v>
      </c>
      <c r="AW90" s="45">
        <v>0.0</v>
      </c>
      <c r="AX90" s="45">
        <v>0.0</v>
      </c>
      <c r="AY90" s="45">
        <v>0.0</v>
      </c>
      <c r="AZ90" s="45">
        <v>0.0</v>
      </c>
      <c r="BA90" s="45">
        <v>0.0</v>
      </c>
      <c r="BB90" s="45">
        <v>0.0</v>
      </c>
      <c r="BC90" s="45">
        <v>0.0</v>
      </c>
      <c r="BD90" s="45">
        <v>0.0</v>
      </c>
      <c r="BE90" s="45">
        <v>0.0</v>
      </c>
      <c r="BF90" s="45">
        <v>0.0</v>
      </c>
      <c r="BG90" s="45">
        <v>0.0</v>
      </c>
      <c r="BH90" s="45">
        <v>0.0</v>
      </c>
      <c r="BI90" s="45">
        <v>0.0</v>
      </c>
      <c r="BJ90" s="46">
        <v>0.0</v>
      </c>
    </row>
    <row r="91" ht="15.75" customHeight="1">
      <c r="A91" s="72" t="s">
        <v>60</v>
      </c>
      <c r="B91" s="54">
        <v>0.0</v>
      </c>
      <c r="C91" s="54">
        <v>0.0</v>
      </c>
      <c r="D91" s="54">
        <v>0.0</v>
      </c>
      <c r="E91" s="54">
        <v>0.0</v>
      </c>
      <c r="F91" s="54">
        <v>0.0</v>
      </c>
      <c r="G91" s="54">
        <v>0.0</v>
      </c>
      <c r="H91" s="54">
        <v>0.0</v>
      </c>
      <c r="I91" s="54">
        <v>0.0</v>
      </c>
      <c r="J91" s="54">
        <v>0.0</v>
      </c>
      <c r="K91" s="54">
        <v>0.0</v>
      </c>
      <c r="L91" s="54">
        <v>0.0</v>
      </c>
      <c r="M91" s="54">
        <v>0.0</v>
      </c>
      <c r="N91" s="54">
        <v>0.0</v>
      </c>
      <c r="O91" s="54">
        <v>0.0</v>
      </c>
      <c r="P91" s="54">
        <v>0.0</v>
      </c>
      <c r="Q91" s="54">
        <v>0.0</v>
      </c>
      <c r="R91" s="54">
        <v>0.0</v>
      </c>
      <c r="S91" s="54">
        <v>0.0</v>
      </c>
      <c r="T91" s="54">
        <v>0.0</v>
      </c>
      <c r="U91" s="54">
        <v>0.0</v>
      </c>
      <c r="V91" s="54">
        <v>0.0</v>
      </c>
      <c r="W91" s="54">
        <v>0.0</v>
      </c>
      <c r="X91" s="54">
        <v>0.0</v>
      </c>
      <c r="Y91" s="54">
        <v>0.0</v>
      </c>
      <c r="Z91" s="54">
        <v>0.0</v>
      </c>
      <c r="AA91" s="54">
        <v>0.0</v>
      </c>
      <c r="AB91" s="54">
        <v>0.0</v>
      </c>
      <c r="AC91" s="55">
        <v>0.0</v>
      </c>
      <c r="AD91" s="54">
        <v>3.0</v>
      </c>
      <c r="AE91" s="54">
        <v>3.0</v>
      </c>
      <c r="AF91" s="7">
        <v>0.0</v>
      </c>
      <c r="AG91" s="7">
        <v>0.0</v>
      </c>
      <c r="AH91" s="7">
        <v>0.0</v>
      </c>
      <c r="AI91" s="7">
        <v>0.0</v>
      </c>
      <c r="AJ91" s="7">
        <v>0.0</v>
      </c>
      <c r="AK91" s="7">
        <v>0.0</v>
      </c>
      <c r="AL91" s="7">
        <v>0.0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  <c r="AU91" s="7">
        <v>0.0</v>
      </c>
      <c r="AV91" s="7">
        <v>0.0</v>
      </c>
      <c r="AW91" s="7">
        <v>0.0</v>
      </c>
      <c r="AX91" s="7">
        <v>0.0</v>
      </c>
      <c r="AY91" s="7">
        <v>0.0</v>
      </c>
      <c r="AZ91" s="7">
        <v>0.0</v>
      </c>
      <c r="BA91" s="7">
        <v>0.0</v>
      </c>
      <c r="BB91" s="7">
        <v>0.0</v>
      </c>
      <c r="BC91" s="7">
        <v>0.0</v>
      </c>
      <c r="BD91" s="7">
        <v>0.0</v>
      </c>
      <c r="BE91" s="7">
        <v>0.0</v>
      </c>
      <c r="BF91" s="7">
        <v>0.0</v>
      </c>
      <c r="BG91" s="7">
        <v>0.0</v>
      </c>
      <c r="BH91" s="7">
        <v>0.0</v>
      </c>
      <c r="BI91" s="7">
        <v>0.0</v>
      </c>
      <c r="BJ91" s="8">
        <v>0.0</v>
      </c>
    </row>
    <row r="92" ht="15.75" customHeight="1">
      <c r="A92" s="73" t="s">
        <v>81</v>
      </c>
      <c r="B92" s="54">
        <v>0.0</v>
      </c>
      <c r="C92" s="54">
        <v>0.0</v>
      </c>
      <c r="D92" s="54">
        <v>0.0</v>
      </c>
      <c r="E92" s="54">
        <v>0.0</v>
      </c>
      <c r="F92" s="54">
        <v>0.0</v>
      </c>
      <c r="G92" s="54">
        <v>0.0</v>
      </c>
      <c r="H92" s="54">
        <v>0.0</v>
      </c>
      <c r="I92" s="54">
        <v>0.0</v>
      </c>
      <c r="J92" s="54">
        <v>0.0</v>
      </c>
      <c r="K92" s="54">
        <v>0.0</v>
      </c>
      <c r="L92" s="54">
        <v>0.0</v>
      </c>
      <c r="M92" s="54">
        <v>0.0</v>
      </c>
      <c r="N92" s="54">
        <v>0.0</v>
      </c>
      <c r="O92" s="54">
        <v>0.0</v>
      </c>
      <c r="P92" s="54">
        <v>0.0</v>
      </c>
      <c r="Q92" s="54">
        <v>0.0</v>
      </c>
      <c r="R92" s="54">
        <v>0.0</v>
      </c>
      <c r="S92" s="54">
        <v>0.0</v>
      </c>
      <c r="T92" s="54">
        <v>0.0</v>
      </c>
      <c r="U92" s="54">
        <v>0.0</v>
      </c>
      <c r="V92" s="54">
        <v>0.0</v>
      </c>
      <c r="W92" s="54">
        <v>0.0</v>
      </c>
      <c r="X92" s="54">
        <v>0.0</v>
      </c>
      <c r="Y92" s="54">
        <v>0.0</v>
      </c>
      <c r="Z92" s="54">
        <v>0.0</v>
      </c>
      <c r="AA92" s="54">
        <v>0.0</v>
      </c>
      <c r="AB92" s="54">
        <v>0.0</v>
      </c>
      <c r="AC92" s="55">
        <v>0.0</v>
      </c>
      <c r="AD92" s="54">
        <v>0.0</v>
      </c>
      <c r="AE92" s="54">
        <v>0.0</v>
      </c>
      <c r="AF92" s="54">
        <v>0.0</v>
      </c>
      <c r="AG92" s="54">
        <v>0.0</v>
      </c>
      <c r="AH92" s="54">
        <v>4.0</v>
      </c>
      <c r="AI92" s="54">
        <v>3.0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0.0</v>
      </c>
      <c r="BD92" s="7">
        <v>0.0</v>
      </c>
      <c r="BE92" s="7">
        <v>0.0</v>
      </c>
      <c r="BF92" s="7">
        <v>0.0</v>
      </c>
      <c r="BG92" s="7">
        <v>0.0</v>
      </c>
      <c r="BH92" s="7">
        <v>0.0</v>
      </c>
      <c r="BI92" s="7">
        <v>0.0</v>
      </c>
      <c r="BJ92" s="8">
        <v>0.0</v>
      </c>
    </row>
    <row r="93" ht="15.75" customHeight="1">
      <c r="A93" s="73" t="s">
        <v>82</v>
      </c>
      <c r="B93" s="54">
        <v>0.0</v>
      </c>
      <c r="C93" s="54">
        <v>0.0</v>
      </c>
      <c r="D93" s="54">
        <v>0.0</v>
      </c>
      <c r="E93" s="54">
        <v>0.0</v>
      </c>
      <c r="F93" s="54">
        <v>0.0</v>
      </c>
      <c r="G93" s="54">
        <v>0.0</v>
      </c>
      <c r="H93" s="54">
        <v>0.0</v>
      </c>
      <c r="I93" s="54">
        <v>0.0</v>
      </c>
      <c r="J93" s="54">
        <v>0.0</v>
      </c>
      <c r="K93" s="54">
        <v>0.0</v>
      </c>
      <c r="L93" s="54">
        <v>0.0</v>
      </c>
      <c r="M93" s="54">
        <v>0.0</v>
      </c>
      <c r="N93" s="54">
        <v>0.0</v>
      </c>
      <c r="O93" s="54">
        <v>0.0</v>
      </c>
      <c r="P93" s="54">
        <v>0.0</v>
      </c>
      <c r="Q93" s="54">
        <v>0.0</v>
      </c>
      <c r="R93" s="54">
        <v>0.0</v>
      </c>
      <c r="S93" s="54">
        <v>0.0</v>
      </c>
      <c r="T93" s="54">
        <v>0.0</v>
      </c>
      <c r="U93" s="54">
        <v>0.0</v>
      </c>
      <c r="V93" s="54">
        <v>0.0</v>
      </c>
      <c r="W93" s="54">
        <v>0.0</v>
      </c>
      <c r="X93" s="54">
        <v>0.0</v>
      </c>
      <c r="Y93" s="54">
        <v>0.0</v>
      </c>
      <c r="Z93" s="54">
        <v>0.0</v>
      </c>
      <c r="AA93" s="54">
        <v>0.0</v>
      </c>
      <c r="AB93" s="54">
        <v>0.0</v>
      </c>
      <c r="AC93" s="55">
        <v>0.0</v>
      </c>
      <c r="AD93" s="54">
        <v>0.0</v>
      </c>
      <c r="AE93" s="54">
        <v>0.0</v>
      </c>
      <c r="AF93" s="54">
        <v>0.0</v>
      </c>
      <c r="AG93" s="54">
        <v>0.0</v>
      </c>
      <c r="AH93" s="54">
        <v>0.0</v>
      </c>
      <c r="AI93" s="54">
        <v>4.0</v>
      </c>
      <c r="AJ93" s="54">
        <v>3.0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0.0</v>
      </c>
      <c r="BB93" s="7">
        <v>0.0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  <c r="BJ93" s="8">
        <v>0.0</v>
      </c>
    </row>
    <row r="94" ht="15.75" customHeight="1">
      <c r="A94" s="73" t="s">
        <v>82</v>
      </c>
      <c r="B94" s="54">
        <v>0.0</v>
      </c>
      <c r="C94" s="54">
        <v>0.0</v>
      </c>
      <c r="D94" s="54">
        <v>0.0</v>
      </c>
      <c r="E94" s="54">
        <v>0.0</v>
      </c>
      <c r="F94" s="54">
        <v>0.0</v>
      </c>
      <c r="G94" s="54">
        <v>0.0</v>
      </c>
      <c r="H94" s="54">
        <v>0.0</v>
      </c>
      <c r="I94" s="54">
        <v>0.0</v>
      </c>
      <c r="J94" s="54">
        <v>0.0</v>
      </c>
      <c r="K94" s="54">
        <v>0.0</v>
      </c>
      <c r="L94" s="54">
        <v>0.0</v>
      </c>
      <c r="M94" s="54">
        <v>0.0</v>
      </c>
      <c r="N94" s="54">
        <v>0.0</v>
      </c>
      <c r="O94" s="54">
        <v>0.0</v>
      </c>
      <c r="P94" s="54">
        <v>0.0</v>
      </c>
      <c r="Q94" s="54">
        <v>0.0</v>
      </c>
      <c r="R94" s="54">
        <v>0.0</v>
      </c>
      <c r="S94" s="54">
        <v>0.0</v>
      </c>
      <c r="T94" s="54">
        <v>0.0</v>
      </c>
      <c r="U94" s="54">
        <v>0.0</v>
      </c>
      <c r="V94" s="54">
        <v>0.0</v>
      </c>
      <c r="W94" s="54">
        <v>0.0</v>
      </c>
      <c r="X94" s="54">
        <v>0.0</v>
      </c>
      <c r="Y94" s="54">
        <v>0.0</v>
      </c>
      <c r="Z94" s="54">
        <v>0.0</v>
      </c>
      <c r="AA94" s="54">
        <v>0.0</v>
      </c>
      <c r="AB94" s="54">
        <v>0.0</v>
      </c>
      <c r="AC94" s="55">
        <v>0.0</v>
      </c>
      <c r="AD94" s="54">
        <v>0.0</v>
      </c>
      <c r="AE94" s="54">
        <v>0.0</v>
      </c>
      <c r="AF94" s="54">
        <v>0.0</v>
      </c>
      <c r="AG94" s="54">
        <v>0.0</v>
      </c>
      <c r="AH94" s="54">
        <v>0.0</v>
      </c>
      <c r="AI94" s="54">
        <v>0.0</v>
      </c>
      <c r="AJ94" s="54">
        <v>1.0</v>
      </c>
      <c r="AK94" s="54">
        <v>4.0</v>
      </c>
      <c r="AL94" s="7">
        <v>0.0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0.0</v>
      </c>
      <c r="BB94" s="7">
        <v>0.0</v>
      </c>
      <c r="BC94" s="7">
        <v>0.0</v>
      </c>
      <c r="BD94" s="7">
        <v>0.0</v>
      </c>
      <c r="BE94" s="7">
        <v>0.0</v>
      </c>
      <c r="BF94" s="7">
        <v>0.0</v>
      </c>
      <c r="BG94" s="7">
        <v>0.0</v>
      </c>
      <c r="BH94" s="7">
        <v>0.0</v>
      </c>
      <c r="BI94" s="7">
        <v>0.0</v>
      </c>
      <c r="BJ94" s="8">
        <v>0.0</v>
      </c>
    </row>
    <row r="95" ht="15.75" customHeight="1">
      <c r="A95" s="74" t="s">
        <v>83</v>
      </c>
      <c r="B95" s="58">
        <v>0.0</v>
      </c>
      <c r="C95" s="58">
        <v>0.0</v>
      </c>
      <c r="D95" s="58">
        <v>0.0</v>
      </c>
      <c r="E95" s="58">
        <v>0.0</v>
      </c>
      <c r="F95" s="58">
        <v>0.0</v>
      </c>
      <c r="G95" s="58">
        <v>0.0</v>
      </c>
      <c r="H95" s="58">
        <v>0.0</v>
      </c>
      <c r="I95" s="58">
        <v>0.0</v>
      </c>
      <c r="J95" s="58">
        <v>0.0</v>
      </c>
      <c r="K95" s="58">
        <v>0.0</v>
      </c>
      <c r="L95" s="58">
        <v>0.0</v>
      </c>
      <c r="M95" s="58">
        <v>0.0</v>
      </c>
      <c r="N95" s="58">
        <v>0.0</v>
      </c>
      <c r="O95" s="58">
        <v>0.0</v>
      </c>
      <c r="P95" s="58">
        <v>0.0</v>
      </c>
      <c r="Q95" s="58">
        <v>0.0</v>
      </c>
      <c r="R95" s="58">
        <v>0.0</v>
      </c>
      <c r="S95" s="58">
        <v>0.0</v>
      </c>
      <c r="T95" s="58">
        <v>0.0</v>
      </c>
      <c r="U95" s="58">
        <v>0.0</v>
      </c>
      <c r="V95" s="58">
        <v>0.0</v>
      </c>
      <c r="W95" s="58">
        <v>0.0</v>
      </c>
      <c r="X95" s="58">
        <v>0.0</v>
      </c>
      <c r="Y95" s="58">
        <v>0.0</v>
      </c>
      <c r="Z95" s="58">
        <v>0.0</v>
      </c>
      <c r="AA95" s="58">
        <v>0.0</v>
      </c>
      <c r="AB95" s="58">
        <v>0.0</v>
      </c>
      <c r="AC95" s="59">
        <v>0.0</v>
      </c>
      <c r="AD95" s="58">
        <v>0.0</v>
      </c>
      <c r="AE95" s="58">
        <v>0.0</v>
      </c>
      <c r="AF95" s="58">
        <v>0.0</v>
      </c>
      <c r="AG95" s="58">
        <v>0.0</v>
      </c>
      <c r="AH95" s="58">
        <v>0.0</v>
      </c>
      <c r="AI95" s="58">
        <v>0.0</v>
      </c>
      <c r="AJ95" s="58">
        <v>0.0</v>
      </c>
      <c r="AK95" s="58">
        <v>2.0</v>
      </c>
      <c r="AL95" s="58">
        <v>3.0</v>
      </c>
      <c r="AM95" s="45">
        <v>0.0</v>
      </c>
      <c r="AN95" s="45">
        <v>0.0</v>
      </c>
      <c r="AO95" s="45">
        <v>0.0</v>
      </c>
      <c r="AP95" s="45">
        <v>0.0</v>
      </c>
      <c r="AQ95" s="45">
        <v>0.0</v>
      </c>
      <c r="AR95" s="45">
        <v>0.0</v>
      </c>
      <c r="AS95" s="45">
        <v>0.0</v>
      </c>
      <c r="AT95" s="45">
        <v>0.0</v>
      </c>
      <c r="AU95" s="45">
        <v>0.0</v>
      </c>
      <c r="AV95" s="45">
        <v>0.0</v>
      </c>
      <c r="AW95" s="45">
        <v>0.0</v>
      </c>
      <c r="AX95" s="45">
        <v>0.0</v>
      </c>
      <c r="AY95" s="45">
        <v>0.0</v>
      </c>
      <c r="AZ95" s="45">
        <v>0.0</v>
      </c>
      <c r="BA95" s="45">
        <v>0.0</v>
      </c>
      <c r="BB95" s="45">
        <v>0.0</v>
      </c>
      <c r="BC95" s="45">
        <v>0.0</v>
      </c>
      <c r="BD95" s="45">
        <v>0.0</v>
      </c>
      <c r="BE95" s="45">
        <v>0.0</v>
      </c>
      <c r="BF95" s="45">
        <v>0.0</v>
      </c>
      <c r="BG95" s="45">
        <v>0.0</v>
      </c>
      <c r="BH95" s="45">
        <v>0.0</v>
      </c>
      <c r="BI95" s="45">
        <v>0.0</v>
      </c>
      <c r="BJ95" s="46">
        <v>0.0</v>
      </c>
    </row>
    <row r="96" ht="15.75" customHeight="1">
      <c r="A96" s="75" t="s">
        <v>84</v>
      </c>
      <c r="B96" s="54">
        <v>0.0</v>
      </c>
      <c r="C96" s="54">
        <v>0.0</v>
      </c>
      <c r="D96" s="54">
        <v>0.0</v>
      </c>
      <c r="E96" s="54">
        <v>0.0</v>
      </c>
      <c r="F96" s="54">
        <v>0.0</v>
      </c>
      <c r="G96" s="54">
        <v>0.0</v>
      </c>
      <c r="H96" s="54">
        <v>0.0</v>
      </c>
      <c r="I96" s="54">
        <v>0.0</v>
      </c>
      <c r="J96" s="54">
        <v>0.0</v>
      </c>
      <c r="K96" s="54">
        <v>0.0</v>
      </c>
      <c r="L96" s="54">
        <v>0.0</v>
      </c>
      <c r="M96" s="54">
        <v>0.0</v>
      </c>
      <c r="N96" s="54">
        <v>0.0</v>
      </c>
      <c r="O96" s="54">
        <v>0.0</v>
      </c>
      <c r="P96" s="54">
        <v>0.0</v>
      </c>
      <c r="Q96" s="54">
        <v>0.0</v>
      </c>
      <c r="R96" s="54">
        <v>0.0</v>
      </c>
      <c r="S96" s="54">
        <v>0.0</v>
      </c>
      <c r="T96" s="54">
        <v>0.0</v>
      </c>
      <c r="U96" s="54">
        <v>0.0</v>
      </c>
      <c r="V96" s="54">
        <v>0.0</v>
      </c>
      <c r="W96" s="54">
        <v>0.0</v>
      </c>
      <c r="X96" s="54">
        <v>0.0</v>
      </c>
      <c r="Y96" s="54">
        <v>0.0</v>
      </c>
      <c r="Z96" s="54">
        <v>0.0</v>
      </c>
      <c r="AA96" s="54">
        <v>0.0</v>
      </c>
      <c r="AB96" s="54">
        <v>0.0</v>
      </c>
      <c r="AC96" s="55">
        <v>0.0</v>
      </c>
      <c r="AD96" s="54">
        <v>1.0</v>
      </c>
      <c r="AE96" s="54">
        <v>3.0</v>
      </c>
      <c r="AF96" s="54">
        <v>8.0</v>
      </c>
      <c r="AG96" s="7">
        <v>0.0</v>
      </c>
      <c r="AH96" s="7">
        <v>0.0</v>
      </c>
      <c r="AI96" s="7">
        <v>0.0</v>
      </c>
      <c r="AJ96" s="7">
        <v>0.0</v>
      </c>
      <c r="AK96" s="7">
        <v>0.0</v>
      </c>
      <c r="AL96" s="7">
        <v>0.0</v>
      </c>
      <c r="AM96" s="7">
        <v>0.0</v>
      </c>
      <c r="AN96" s="7">
        <v>0.0</v>
      </c>
      <c r="AO96" s="7">
        <v>0.0</v>
      </c>
      <c r="AP96" s="7">
        <v>0.0</v>
      </c>
      <c r="AQ96" s="7">
        <v>0.0</v>
      </c>
      <c r="AR96" s="7">
        <v>0.0</v>
      </c>
      <c r="AS96" s="7">
        <v>0.0</v>
      </c>
      <c r="AT96" s="7">
        <v>0.0</v>
      </c>
      <c r="AU96" s="7">
        <v>0.0</v>
      </c>
      <c r="AV96" s="7">
        <v>0.0</v>
      </c>
      <c r="AW96" s="7">
        <v>0.0</v>
      </c>
      <c r="AX96" s="7">
        <v>0.0</v>
      </c>
      <c r="AY96" s="7">
        <v>0.0</v>
      </c>
      <c r="AZ96" s="7">
        <v>0.0</v>
      </c>
      <c r="BA96" s="7">
        <v>0.0</v>
      </c>
      <c r="BB96" s="7">
        <v>0.0</v>
      </c>
      <c r="BC96" s="7">
        <v>0.0</v>
      </c>
      <c r="BD96" s="7">
        <v>0.0</v>
      </c>
      <c r="BE96" s="7">
        <v>0.0</v>
      </c>
      <c r="BF96" s="7">
        <v>0.0</v>
      </c>
      <c r="BG96" s="7">
        <v>0.0</v>
      </c>
      <c r="BH96" s="7">
        <v>0.0</v>
      </c>
      <c r="BI96" s="7">
        <v>0.0</v>
      </c>
      <c r="BJ96" s="8">
        <v>0.0</v>
      </c>
    </row>
    <row r="97" ht="15.75" customHeight="1">
      <c r="A97" s="76" t="s">
        <v>85</v>
      </c>
      <c r="B97" s="54">
        <v>0.0</v>
      </c>
      <c r="C97" s="54">
        <v>0.0</v>
      </c>
      <c r="D97" s="54">
        <v>0.0</v>
      </c>
      <c r="E97" s="54">
        <v>0.0</v>
      </c>
      <c r="F97" s="54">
        <v>0.0</v>
      </c>
      <c r="G97" s="54">
        <v>0.0</v>
      </c>
      <c r="H97" s="54">
        <v>0.0</v>
      </c>
      <c r="I97" s="54">
        <v>0.0</v>
      </c>
      <c r="J97" s="54">
        <v>0.0</v>
      </c>
      <c r="K97" s="54">
        <v>0.0</v>
      </c>
      <c r="L97" s="54">
        <v>0.0</v>
      </c>
      <c r="M97" s="54">
        <v>0.0</v>
      </c>
      <c r="N97" s="54">
        <v>0.0</v>
      </c>
      <c r="O97" s="54">
        <v>0.0</v>
      </c>
      <c r="P97" s="54">
        <v>0.0</v>
      </c>
      <c r="Q97" s="54">
        <v>0.0</v>
      </c>
      <c r="R97" s="54">
        <v>0.0</v>
      </c>
      <c r="S97" s="54">
        <v>0.0</v>
      </c>
      <c r="T97" s="54">
        <v>0.0</v>
      </c>
      <c r="U97" s="54">
        <v>0.0</v>
      </c>
      <c r="V97" s="54">
        <v>0.0</v>
      </c>
      <c r="W97" s="54">
        <v>0.0</v>
      </c>
      <c r="X97" s="54">
        <v>0.0</v>
      </c>
      <c r="Y97" s="54">
        <v>0.0</v>
      </c>
      <c r="Z97" s="54">
        <v>0.0</v>
      </c>
      <c r="AA97" s="54">
        <v>0.0</v>
      </c>
      <c r="AB97" s="54">
        <v>0.0</v>
      </c>
      <c r="AC97" s="55">
        <v>0.0</v>
      </c>
      <c r="AD97" s="54">
        <v>0.0</v>
      </c>
      <c r="AE97" s="54">
        <v>0.0</v>
      </c>
      <c r="AF97" s="54">
        <v>0.0</v>
      </c>
      <c r="AG97" s="54">
        <v>0.0</v>
      </c>
      <c r="AH97" s="54">
        <v>3.0</v>
      </c>
      <c r="AI97" s="54">
        <v>3.0</v>
      </c>
      <c r="AJ97" s="54">
        <v>3.0</v>
      </c>
      <c r="AK97" s="7">
        <v>0.0</v>
      </c>
      <c r="AL97" s="7">
        <v>0.0</v>
      </c>
      <c r="AM97" s="7">
        <v>0.0</v>
      </c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0.0</v>
      </c>
      <c r="AU97" s="7">
        <v>0.0</v>
      </c>
      <c r="AV97" s="7">
        <v>0.0</v>
      </c>
      <c r="AW97" s="7">
        <v>0.0</v>
      </c>
      <c r="AX97" s="7">
        <v>0.0</v>
      </c>
      <c r="AY97" s="7">
        <v>0.0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0.0</v>
      </c>
      <c r="BF97" s="7">
        <v>0.0</v>
      </c>
      <c r="BG97" s="7">
        <v>0.0</v>
      </c>
      <c r="BH97" s="7">
        <v>0.0</v>
      </c>
      <c r="BI97" s="7">
        <v>0.0</v>
      </c>
      <c r="BJ97" s="8">
        <v>0.0</v>
      </c>
    </row>
    <row r="98" ht="15.75" customHeight="1">
      <c r="A98" s="76" t="s">
        <v>86</v>
      </c>
      <c r="B98" s="54">
        <v>0.0</v>
      </c>
      <c r="C98" s="54">
        <v>0.0</v>
      </c>
      <c r="D98" s="54">
        <v>0.0</v>
      </c>
      <c r="E98" s="54">
        <v>0.0</v>
      </c>
      <c r="F98" s="54">
        <v>0.0</v>
      </c>
      <c r="G98" s="54">
        <v>0.0</v>
      </c>
      <c r="H98" s="54">
        <v>0.0</v>
      </c>
      <c r="I98" s="54">
        <v>0.0</v>
      </c>
      <c r="J98" s="54">
        <v>0.0</v>
      </c>
      <c r="K98" s="54">
        <v>0.0</v>
      </c>
      <c r="L98" s="54">
        <v>0.0</v>
      </c>
      <c r="M98" s="54">
        <v>0.0</v>
      </c>
      <c r="N98" s="54">
        <v>0.0</v>
      </c>
      <c r="O98" s="54">
        <v>0.0</v>
      </c>
      <c r="P98" s="54">
        <v>0.0</v>
      </c>
      <c r="Q98" s="54">
        <v>0.0</v>
      </c>
      <c r="R98" s="54">
        <v>0.0</v>
      </c>
      <c r="S98" s="54">
        <v>0.0</v>
      </c>
      <c r="T98" s="54">
        <v>0.0</v>
      </c>
      <c r="U98" s="54">
        <v>0.0</v>
      </c>
      <c r="V98" s="54">
        <v>0.0</v>
      </c>
      <c r="W98" s="54">
        <v>0.0</v>
      </c>
      <c r="X98" s="54">
        <v>0.0</v>
      </c>
      <c r="Y98" s="54">
        <v>0.0</v>
      </c>
      <c r="Z98" s="54">
        <v>0.0</v>
      </c>
      <c r="AA98" s="54">
        <v>0.0</v>
      </c>
      <c r="AB98" s="54">
        <v>0.0</v>
      </c>
      <c r="AC98" s="55">
        <v>0.0</v>
      </c>
      <c r="AD98" s="54">
        <v>0.0</v>
      </c>
      <c r="AE98" s="54">
        <v>0.0</v>
      </c>
      <c r="AF98" s="54">
        <v>0.0</v>
      </c>
      <c r="AG98" s="54">
        <v>0.0</v>
      </c>
      <c r="AH98" s="54">
        <v>0.0</v>
      </c>
      <c r="AI98" s="54">
        <v>2.0</v>
      </c>
      <c r="AJ98" s="54">
        <v>2.0</v>
      </c>
      <c r="AK98" s="54">
        <v>4.0</v>
      </c>
      <c r="AL98" s="7">
        <v>0.0</v>
      </c>
      <c r="AM98" s="7">
        <v>0.0</v>
      </c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0.0</v>
      </c>
      <c r="AY98" s="7">
        <v>0.0</v>
      </c>
      <c r="AZ98" s="7">
        <v>0.0</v>
      </c>
      <c r="BA98" s="7">
        <v>0.0</v>
      </c>
      <c r="BB98" s="7">
        <v>0.0</v>
      </c>
      <c r="BC98" s="7">
        <v>0.0</v>
      </c>
      <c r="BD98" s="7">
        <v>0.0</v>
      </c>
      <c r="BE98" s="7">
        <v>0.0</v>
      </c>
      <c r="BF98" s="7">
        <v>0.0</v>
      </c>
      <c r="BG98" s="7">
        <v>0.0</v>
      </c>
      <c r="BH98" s="7">
        <v>0.0</v>
      </c>
      <c r="BI98" s="7">
        <v>0.0</v>
      </c>
      <c r="BJ98" s="8">
        <v>0.0</v>
      </c>
    </row>
    <row r="99" ht="15.75" customHeight="1">
      <c r="A99" s="76" t="s">
        <v>87</v>
      </c>
      <c r="B99" s="54">
        <v>0.0</v>
      </c>
      <c r="C99" s="54">
        <v>0.0</v>
      </c>
      <c r="D99" s="54">
        <v>0.0</v>
      </c>
      <c r="E99" s="54">
        <v>0.0</v>
      </c>
      <c r="F99" s="54">
        <v>0.0</v>
      </c>
      <c r="G99" s="54">
        <v>0.0</v>
      </c>
      <c r="H99" s="54">
        <v>0.0</v>
      </c>
      <c r="I99" s="54">
        <v>0.0</v>
      </c>
      <c r="J99" s="54">
        <v>0.0</v>
      </c>
      <c r="K99" s="54">
        <v>0.0</v>
      </c>
      <c r="L99" s="54">
        <v>0.0</v>
      </c>
      <c r="M99" s="54">
        <v>0.0</v>
      </c>
      <c r="N99" s="54">
        <v>0.0</v>
      </c>
      <c r="O99" s="54">
        <v>0.0</v>
      </c>
      <c r="P99" s="54">
        <v>0.0</v>
      </c>
      <c r="Q99" s="54">
        <v>0.0</v>
      </c>
      <c r="R99" s="54">
        <v>0.0</v>
      </c>
      <c r="S99" s="54">
        <v>0.0</v>
      </c>
      <c r="T99" s="54">
        <v>0.0</v>
      </c>
      <c r="U99" s="54">
        <v>0.0</v>
      </c>
      <c r="V99" s="54">
        <v>0.0</v>
      </c>
      <c r="W99" s="54">
        <v>0.0</v>
      </c>
      <c r="X99" s="54">
        <v>0.0</v>
      </c>
      <c r="Y99" s="54">
        <v>0.0</v>
      </c>
      <c r="Z99" s="54">
        <v>0.0</v>
      </c>
      <c r="AA99" s="54">
        <v>0.0</v>
      </c>
      <c r="AB99" s="54">
        <v>0.0</v>
      </c>
      <c r="AC99" s="55">
        <v>0.0</v>
      </c>
      <c r="AD99" s="54">
        <v>0.0</v>
      </c>
      <c r="AE99" s="54">
        <v>0.0</v>
      </c>
      <c r="AF99" s="54">
        <v>0.0</v>
      </c>
      <c r="AG99" s="54">
        <v>0.0</v>
      </c>
      <c r="AH99" s="54">
        <v>0.0</v>
      </c>
      <c r="AI99" s="54">
        <v>0.0</v>
      </c>
      <c r="AJ99" s="54">
        <v>1.0</v>
      </c>
      <c r="AK99" s="54">
        <v>2.0</v>
      </c>
      <c r="AL99" s="54">
        <v>2.0</v>
      </c>
      <c r="AM99" s="7">
        <v>0.0</v>
      </c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0.0</v>
      </c>
      <c r="AZ99" s="7">
        <v>0.0</v>
      </c>
      <c r="BA99" s="7">
        <v>0.0</v>
      </c>
      <c r="BB99" s="7">
        <v>0.0</v>
      </c>
      <c r="BC99" s="7">
        <v>0.0</v>
      </c>
      <c r="BD99" s="7">
        <v>0.0</v>
      </c>
      <c r="BE99" s="7">
        <v>0.0</v>
      </c>
      <c r="BF99" s="7">
        <v>0.0</v>
      </c>
      <c r="BG99" s="7">
        <v>0.0</v>
      </c>
      <c r="BH99" s="7">
        <v>0.0</v>
      </c>
      <c r="BI99" s="7">
        <v>0.0</v>
      </c>
      <c r="BJ99" s="8">
        <v>0.0</v>
      </c>
    </row>
    <row r="100" ht="15.75" customHeight="1">
      <c r="A100" s="76" t="s">
        <v>88</v>
      </c>
      <c r="B100" s="54">
        <v>0.0</v>
      </c>
      <c r="C100" s="54">
        <v>0.0</v>
      </c>
      <c r="D100" s="54">
        <v>0.0</v>
      </c>
      <c r="E100" s="54">
        <v>0.0</v>
      </c>
      <c r="F100" s="54">
        <v>0.0</v>
      </c>
      <c r="G100" s="54">
        <v>0.0</v>
      </c>
      <c r="H100" s="54">
        <v>0.0</v>
      </c>
      <c r="I100" s="54">
        <v>0.0</v>
      </c>
      <c r="J100" s="54">
        <v>0.0</v>
      </c>
      <c r="K100" s="54">
        <v>0.0</v>
      </c>
      <c r="L100" s="54">
        <v>0.0</v>
      </c>
      <c r="M100" s="54">
        <v>0.0</v>
      </c>
      <c r="N100" s="54">
        <v>0.0</v>
      </c>
      <c r="O100" s="54">
        <v>0.0</v>
      </c>
      <c r="P100" s="54">
        <v>0.0</v>
      </c>
      <c r="Q100" s="54">
        <v>0.0</v>
      </c>
      <c r="R100" s="54">
        <v>0.0</v>
      </c>
      <c r="S100" s="54">
        <v>0.0</v>
      </c>
      <c r="T100" s="54">
        <v>0.0</v>
      </c>
      <c r="U100" s="54">
        <v>0.0</v>
      </c>
      <c r="V100" s="54">
        <v>0.0</v>
      </c>
      <c r="W100" s="54">
        <v>0.0</v>
      </c>
      <c r="X100" s="54">
        <v>0.0</v>
      </c>
      <c r="Y100" s="54">
        <v>0.0</v>
      </c>
      <c r="Z100" s="54">
        <v>0.0</v>
      </c>
      <c r="AA100" s="54">
        <v>0.0</v>
      </c>
      <c r="AB100" s="54">
        <v>0.0</v>
      </c>
      <c r="AC100" s="55">
        <v>0.0</v>
      </c>
      <c r="AD100" s="54">
        <v>0.0</v>
      </c>
      <c r="AE100" s="54">
        <v>0.0</v>
      </c>
      <c r="AF100" s="54">
        <v>0.0</v>
      </c>
      <c r="AG100" s="54">
        <v>0.0</v>
      </c>
      <c r="AH100" s="54">
        <v>0.0</v>
      </c>
      <c r="AI100" s="54">
        <v>0.0</v>
      </c>
      <c r="AJ100" s="54">
        <v>0.0</v>
      </c>
      <c r="AK100" s="54">
        <v>1.0</v>
      </c>
      <c r="AL100" s="54">
        <v>1.0</v>
      </c>
      <c r="AM100" s="54">
        <v>1.0</v>
      </c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  <c r="AV100" s="7">
        <v>0.0</v>
      </c>
      <c r="AW100" s="7">
        <v>0.0</v>
      </c>
      <c r="AX100" s="7">
        <v>0.0</v>
      </c>
      <c r="AY100" s="7">
        <v>0.0</v>
      </c>
      <c r="AZ100" s="7">
        <v>0.0</v>
      </c>
      <c r="BA100" s="7">
        <v>0.0</v>
      </c>
      <c r="BB100" s="7">
        <v>0.0</v>
      </c>
      <c r="BC100" s="7">
        <v>0.0</v>
      </c>
      <c r="BD100" s="7">
        <v>0.0</v>
      </c>
      <c r="BE100" s="7">
        <v>0.0</v>
      </c>
      <c r="BF100" s="7">
        <v>0.0</v>
      </c>
      <c r="BG100" s="7">
        <v>0.0</v>
      </c>
      <c r="BH100" s="7">
        <v>0.0</v>
      </c>
      <c r="BI100" s="7">
        <v>0.0</v>
      </c>
      <c r="BJ100" s="8">
        <v>0.0</v>
      </c>
    </row>
    <row r="101" ht="15.75" customHeight="1">
      <c r="A101" s="77" t="s">
        <v>89</v>
      </c>
      <c r="B101" s="58">
        <v>0.0</v>
      </c>
      <c r="C101" s="58">
        <v>0.0</v>
      </c>
      <c r="D101" s="58">
        <v>0.0</v>
      </c>
      <c r="E101" s="58">
        <v>0.0</v>
      </c>
      <c r="F101" s="58">
        <v>0.0</v>
      </c>
      <c r="G101" s="58">
        <v>0.0</v>
      </c>
      <c r="H101" s="58">
        <v>0.0</v>
      </c>
      <c r="I101" s="58">
        <v>0.0</v>
      </c>
      <c r="J101" s="58">
        <v>0.0</v>
      </c>
      <c r="K101" s="58">
        <v>0.0</v>
      </c>
      <c r="L101" s="58">
        <v>0.0</v>
      </c>
      <c r="M101" s="58">
        <v>0.0</v>
      </c>
      <c r="N101" s="58">
        <v>0.0</v>
      </c>
      <c r="O101" s="58">
        <v>0.0</v>
      </c>
      <c r="P101" s="58">
        <v>0.0</v>
      </c>
      <c r="Q101" s="58">
        <v>0.0</v>
      </c>
      <c r="R101" s="58">
        <v>0.0</v>
      </c>
      <c r="S101" s="58">
        <v>0.0</v>
      </c>
      <c r="T101" s="58">
        <v>0.0</v>
      </c>
      <c r="U101" s="58">
        <v>0.0</v>
      </c>
      <c r="V101" s="58">
        <v>0.0</v>
      </c>
      <c r="W101" s="58">
        <v>0.0</v>
      </c>
      <c r="X101" s="58">
        <v>0.0</v>
      </c>
      <c r="Y101" s="58">
        <v>0.0</v>
      </c>
      <c r="Z101" s="58">
        <v>0.0</v>
      </c>
      <c r="AA101" s="58">
        <v>0.0</v>
      </c>
      <c r="AB101" s="58">
        <v>0.0</v>
      </c>
      <c r="AC101" s="59">
        <v>0.0</v>
      </c>
      <c r="AD101" s="58">
        <v>0.0</v>
      </c>
      <c r="AE101" s="58">
        <v>0.0</v>
      </c>
      <c r="AF101" s="58">
        <v>0.0</v>
      </c>
      <c r="AG101" s="58">
        <v>0.0</v>
      </c>
      <c r="AH101" s="58">
        <v>0.0</v>
      </c>
      <c r="AI101" s="58">
        <v>0.0</v>
      </c>
      <c r="AJ101" s="58">
        <v>0.0</v>
      </c>
      <c r="AK101" s="58">
        <v>0.0</v>
      </c>
      <c r="AL101" s="58">
        <v>3.0</v>
      </c>
      <c r="AM101" s="58">
        <v>1.0</v>
      </c>
      <c r="AN101" s="58">
        <v>1.0</v>
      </c>
      <c r="AO101" s="45">
        <v>0.0</v>
      </c>
      <c r="AP101" s="45">
        <v>0.0</v>
      </c>
      <c r="AQ101" s="45">
        <v>0.0</v>
      </c>
      <c r="AR101" s="45">
        <v>0.0</v>
      </c>
      <c r="AS101" s="45">
        <v>0.0</v>
      </c>
      <c r="AT101" s="45">
        <v>0.0</v>
      </c>
      <c r="AU101" s="45">
        <v>0.0</v>
      </c>
      <c r="AV101" s="45">
        <v>0.0</v>
      </c>
      <c r="AW101" s="45">
        <v>0.0</v>
      </c>
      <c r="AX101" s="45">
        <v>0.0</v>
      </c>
      <c r="AY101" s="45">
        <v>0.0</v>
      </c>
      <c r="AZ101" s="45">
        <v>0.0</v>
      </c>
      <c r="BA101" s="45">
        <v>0.0</v>
      </c>
      <c r="BB101" s="45">
        <v>0.0</v>
      </c>
      <c r="BC101" s="45">
        <v>0.0</v>
      </c>
      <c r="BD101" s="45">
        <v>0.0</v>
      </c>
      <c r="BE101" s="45">
        <v>0.0</v>
      </c>
      <c r="BF101" s="45">
        <v>0.0</v>
      </c>
      <c r="BG101" s="45">
        <v>0.0</v>
      </c>
      <c r="BH101" s="45">
        <v>0.0</v>
      </c>
      <c r="BI101" s="45">
        <v>0.0</v>
      </c>
      <c r="BJ101" s="46">
        <v>0.0</v>
      </c>
    </row>
    <row r="102" ht="15.75" customHeight="1">
      <c r="A102" s="78" t="s">
        <v>60</v>
      </c>
      <c r="B102" s="54">
        <v>0.0</v>
      </c>
      <c r="C102" s="54">
        <v>0.0</v>
      </c>
      <c r="D102" s="54">
        <v>0.0</v>
      </c>
      <c r="E102" s="54">
        <v>0.0</v>
      </c>
      <c r="F102" s="54">
        <v>0.0</v>
      </c>
      <c r="G102" s="54">
        <v>0.0</v>
      </c>
      <c r="H102" s="54">
        <v>0.0</v>
      </c>
      <c r="I102" s="54">
        <v>0.0</v>
      </c>
      <c r="J102" s="54">
        <v>0.0</v>
      </c>
      <c r="K102" s="54">
        <v>0.0</v>
      </c>
      <c r="L102" s="54">
        <v>0.0</v>
      </c>
      <c r="M102" s="54">
        <v>0.0</v>
      </c>
      <c r="N102" s="54">
        <v>0.0</v>
      </c>
      <c r="O102" s="54">
        <v>0.0</v>
      </c>
      <c r="P102" s="54">
        <v>0.0</v>
      </c>
      <c r="Q102" s="54">
        <v>0.0</v>
      </c>
      <c r="R102" s="54">
        <v>0.0</v>
      </c>
      <c r="S102" s="54">
        <v>0.0</v>
      </c>
      <c r="T102" s="54">
        <v>0.0</v>
      </c>
      <c r="U102" s="54">
        <v>0.0</v>
      </c>
      <c r="V102" s="54">
        <v>0.0</v>
      </c>
      <c r="W102" s="54">
        <v>0.0</v>
      </c>
      <c r="X102" s="54">
        <v>0.0</v>
      </c>
      <c r="Y102" s="54">
        <v>0.0</v>
      </c>
      <c r="Z102" s="54">
        <v>0.0</v>
      </c>
      <c r="AA102" s="54">
        <v>0.0</v>
      </c>
      <c r="AB102" s="54">
        <v>0.0</v>
      </c>
      <c r="AC102" s="55">
        <v>0.0</v>
      </c>
      <c r="AD102" s="54">
        <v>1.0</v>
      </c>
      <c r="AE102" s="54">
        <v>0.0</v>
      </c>
      <c r="AF102" s="54">
        <v>0.0</v>
      </c>
      <c r="AG102" s="54">
        <v>4.0</v>
      </c>
      <c r="AH102" s="54">
        <v>2.0</v>
      </c>
      <c r="AI102" s="7">
        <v>0.0</v>
      </c>
      <c r="AJ102" s="7">
        <v>0.0</v>
      </c>
      <c r="AK102" s="7">
        <v>0.0</v>
      </c>
      <c r="AL102" s="7">
        <v>0.0</v>
      </c>
      <c r="AM102" s="7">
        <v>0.0</v>
      </c>
      <c r="AN102" s="7">
        <v>0.0</v>
      </c>
      <c r="AO102" s="7">
        <v>0.0</v>
      </c>
      <c r="AP102" s="7">
        <v>0.0</v>
      </c>
      <c r="AQ102" s="7">
        <v>0.0</v>
      </c>
      <c r="AR102" s="7">
        <v>0.0</v>
      </c>
      <c r="AS102" s="7">
        <v>0.0</v>
      </c>
      <c r="AT102" s="7">
        <v>0.0</v>
      </c>
      <c r="AU102" s="7">
        <v>0.0</v>
      </c>
      <c r="AV102" s="7">
        <v>0.0</v>
      </c>
      <c r="AW102" s="7">
        <v>0.0</v>
      </c>
      <c r="AX102" s="7">
        <v>0.0</v>
      </c>
      <c r="AY102" s="7">
        <v>0.0</v>
      </c>
      <c r="AZ102" s="7">
        <v>0.0</v>
      </c>
      <c r="BA102" s="7">
        <v>0.0</v>
      </c>
      <c r="BB102" s="7">
        <v>0.0</v>
      </c>
      <c r="BC102" s="7">
        <v>0.0</v>
      </c>
      <c r="BD102" s="7">
        <v>0.0</v>
      </c>
      <c r="BE102" s="7">
        <v>0.0</v>
      </c>
      <c r="BF102" s="7">
        <v>0.0</v>
      </c>
      <c r="BG102" s="7">
        <v>0.0</v>
      </c>
      <c r="BH102" s="7">
        <v>0.0</v>
      </c>
      <c r="BI102" s="7">
        <v>0.0</v>
      </c>
      <c r="BJ102" s="8">
        <v>0.0</v>
      </c>
    </row>
    <row r="103" ht="15.75" customHeight="1">
      <c r="A103" s="79" t="s">
        <v>90</v>
      </c>
      <c r="B103" s="54">
        <v>0.0</v>
      </c>
      <c r="C103" s="54">
        <v>0.0</v>
      </c>
      <c r="D103" s="54">
        <v>0.0</v>
      </c>
      <c r="E103" s="54">
        <v>0.0</v>
      </c>
      <c r="F103" s="54">
        <v>0.0</v>
      </c>
      <c r="G103" s="54">
        <v>0.0</v>
      </c>
      <c r="H103" s="54">
        <v>0.0</v>
      </c>
      <c r="I103" s="54">
        <v>0.0</v>
      </c>
      <c r="J103" s="54">
        <v>0.0</v>
      </c>
      <c r="K103" s="54">
        <v>0.0</v>
      </c>
      <c r="L103" s="54">
        <v>0.0</v>
      </c>
      <c r="M103" s="54">
        <v>0.0</v>
      </c>
      <c r="N103" s="54">
        <v>0.0</v>
      </c>
      <c r="O103" s="54">
        <v>0.0</v>
      </c>
      <c r="P103" s="54">
        <v>0.0</v>
      </c>
      <c r="Q103" s="54">
        <v>0.0</v>
      </c>
      <c r="R103" s="54">
        <v>0.0</v>
      </c>
      <c r="S103" s="54">
        <v>0.0</v>
      </c>
      <c r="T103" s="54">
        <v>0.0</v>
      </c>
      <c r="U103" s="54">
        <v>0.0</v>
      </c>
      <c r="V103" s="54">
        <v>0.0</v>
      </c>
      <c r="W103" s="54">
        <v>0.0</v>
      </c>
      <c r="X103" s="54">
        <v>0.0</v>
      </c>
      <c r="Y103" s="54">
        <v>0.0</v>
      </c>
      <c r="Z103" s="54">
        <v>0.0</v>
      </c>
      <c r="AA103" s="54">
        <v>0.0</v>
      </c>
      <c r="AB103" s="54">
        <v>0.0</v>
      </c>
      <c r="AC103" s="55">
        <v>0.0</v>
      </c>
      <c r="AD103" s="54">
        <v>0.0</v>
      </c>
      <c r="AE103" s="54">
        <v>0.0</v>
      </c>
      <c r="AF103" s="54">
        <v>0.0</v>
      </c>
      <c r="AG103" s="54">
        <v>1.0</v>
      </c>
      <c r="AH103" s="54">
        <v>0.0</v>
      </c>
      <c r="AI103" s="54">
        <v>0.0</v>
      </c>
      <c r="AJ103" s="54">
        <v>1.0</v>
      </c>
      <c r="AK103" s="54">
        <v>0.0</v>
      </c>
      <c r="AL103" s="54">
        <v>0.0</v>
      </c>
      <c r="AM103" s="54">
        <v>1.0</v>
      </c>
      <c r="AN103" s="54">
        <v>2.0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  <c r="AV103" s="7">
        <v>0.0</v>
      </c>
      <c r="AW103" s="7">
        <v>0.0</v>
      </c>
      <c r="AX103" s="7">
        <v>0.0</v>
      </c>
      <c r="AY103" s="7">
        <v>0.0</v>
      </c>
      <c r="AZ103" s="7">
        <v>0.0</v>
      </c>
      <c r="BA103" s="7">
        <v>0.0</v>
      </c>
      <c r="BB103" s="7">
        <v>0.0</v>
      </c>
      <c r="BC103" s="7">
        <v>0.0</v>
      </c>
      <c r="BD103" s="7">
        <v>0.0</v>
      </c>
      <c r="BE103" s="7">
        <v>0.0</v>
      </c>
      <c r="BF103" s="7">
        <v>0.0</v>
      </c>
      <c r="BG103" s="7">
        <v>0.0</v>
      </c>
      <c r="BH103" s="7">
        <v>0.0</v>
      </c>
      <c r="BI103" s="7">
        <v>0.0</v>
      </c>
      <c r="BJ103" s="8">
        <v>0.0</v>
      </c>
    </row>
    <row r="104" ht="15.75" customHeight="1">
      <c r="A104" s="79" t="s">
        <v>91</v>
      </c>
      <c r="B104" s="54">
        <v>0.0</v>
      </c>
      <c r="C104" s="54">
        <v>0.0</v>
      </c>
      <c r="D104" s="54">
        <v>0.0</v>
      </c>
      <c r="E104" s="54">
        <v>0.0</v>
      </c>
      <c r="F104" s="54">
        <v>0.0</v>
      </c>
      <c r="G104" s="54">
        <v>0.0</v>
      </c>
      <c r="H104" s="54">
        <v>0.0</v>
      </c>
      <c r="I104" s="54">
        <v>0.0</v>
      </c>
      <c r="J104" s="54">
        <v>0.0</v>
      </c>
      <c r="K104" s="54">
        <v>0.0</v>
      </c>
      <c r="L104" s="54">
        <v>0.0</v>
      </c>
      <c r="M104" s="54">
        <v>0.0</v>
      </c>
      <c r="N104" s="54">
        <v>0.0</v>
      </c>
      <c r="O104" s="54">
        <v>0.0</v>
      </c>
      <c r="P104" s="54">
        <v>0.0</v>
      </c>
      <c r="Q104" s="54">
        <v>0.0</v>
      </c>
      <c r="R104" s="54">
        <v>0.0</v>
      </c>
      <c r="S104" s="54">
        <v>0.0</v>
      </c>
      <c r="T104" s="54">
        <v>0.0</v>
      </c>
      <c r="U104" s="54">
        <v>0.0</v>
      </c>
      <c r="V104" s="54">
        <v>0.0</v>
      </c>
      <c r="W104" s="54">
        <v>0.0</v>
      </c>
      <c r="X104" s="54">
        <v>0.0</v>
      </c>
      <c r="Y104" s="54">
        <v>0.0</v>
      </c>
      <c r="Z104" s="54">
        <v>0.0</v>
      </c>
      <c r="AA104" s="54">
        <v>0.0</v>
      </c>
      <c r="AB104" s="54">
        <v>0.0</v>
      </c>
      <c r="AC104" s="55">
        <v>0.0</v>
      </c>
      <c r="AD104" s="54">
        <v>0.0</v>
      </c>
      <c r="AE104" s="54">
        <v>0.0</v>
      </c>
      <c r="AF104" s="54">
        <v>0.0</v>
      </c>
      <c r="AG104" s="54">
        <v>0.0</v>
      </c>
      <c r="AH104" s="54">
        <v>0.0</v>
      </c>
      <c r="AI104" s="54">
        <v>0.0</v>
      </c>
      <c r="AJ104" s="54">
        <v>1.0</v>
      </c>
      <c r="AK104" s="54">
        <v>1.0</v>
      </c>
      <c r="AL104" s="54">
        <v>2.0</v>
      </c>
      <c r="AM104" s="54">
        <v>0.0</v>
      </c>
      <c r="AN104" s="54">
        <v>1.0</v>
      </c>
      <c r="AO104" s="54">
        <v>0.0</v>
      </c>
      <c r="AP104" s="54">
        <v>3.0</v>
      </c>
      <c r="AQ104" s="7">
        <v>0.0</v>
      </c>
      <c r="AR104" s="7">
        <v>0.0</v>
      </c>
      <c r="AS104" s="7">
        <v>0.0</v>
      </c>
      <c r="AT104" s="7">
        <v>0.0</v>
      </c>
      <c r="AU104" s="7">
        <v>0.0</v>
      </c>
      <c r="AV104" s="7">
        <v>0.0</v>
      </c>
      <c r="AW104" s="7">
        <v>0.0</v>
      </c>
      <c r="AX104" s="7">
        <v>0.0</v>
      </c>
      <c r="AY104" s="7">
        <v>0.0</v>
      </c>
      <c r="AZ104" s="7">
        <v>0.0</v>
      </c>
      <c r="BA104" s="7">
        <v>0.0</v>
      </c>
      <c r="BB104" s="7">
        <v>0.0</v>
      </c>
      <c r="BC104" s="7">
        <v>0.0</v>
      </c>
      <c r="BD104" s="7">
        <v>0.0</v>
      </c>
      <c r="BE104" s="7">
        <v>0.0</v>
      </c>
      <c r="BF104" s="7">
        <v>0.0</v>
      </c>
      <c r="BG104" s="7">
        <v>0.0</v>
      </c>
      <c r="BH104" s="7">
        <v>0.0</v>
      </c>
      <c r="BI104" s="7">
        <v>0.0</v>
      </c>
      <c r="BJ104" s="8">
        <v>0.0</v>
      </c>
    </row>
    <row r="105" ht="15.75" customHeight="1">
      <c r="A105" s="79" t="s">
        <v>92</v>
      </c>
      <c r="B105" s="54">
        <v>0.0</v>
      </c>
      <c r="C105" s="54">
        <v>0.0</v>
      </c>
      <c r="D105" s="54">
        <v>0.0</v>
      </c>
      <c r="E105" s="54">
        <v>0.0</v>
      </c>
      <c r="F105" s="54">
        <v>0.0</v>
      </c>
      <c r="G105" s="54">
        <v>0.0</v>
      </c>
      <c r="H105" s="54">
        <v>0.0</v>
      </c>
      <c r="I105" s="54">
        <v>0.0</v>
      </c>
      <c r="J105" s="54">
        <v>0.0</v>
      </c>
      <c r="K105" s="54">
        <v>0.0</v>
      </c>
      <c r="L105" s="54">
        <v>0.0</v>
      </c>
      <c r="M105" s="54">
        <v>0.0</v>
      </c>
      <c r="N105" s="54">
        <v>0.0</v>
      </c>
      <c r="O105" s="54">
        <v>0.0</v>
      </c>
      <c r="P105" s="54">
        <v>0.0</v>
      </c>
      <c r="Q105" s="54">
        <v>0.0</v>
      </c>
      <c r="R105" s="54">
        <v>0.0</v>
      </c>
      <c r="S105" s="54">
        <v>0.0</v>
      </c>
      <c r="T105" s="54">
        <v>0.0</v>
      </c>
      <c r="U105" s="54">
        <v>0.0</v>
      </c>
      <c r="V105" s="54">
        <v>0.0</v>
      </c>
      <c r="W105" s="54">
        <v>0.0</v>
      </c>
      <c r="X105" s="54">
        <v>0.0</v>
      </c>
      <c r="Y105" s="54">
        <v>0.0</v>
      </c>
      <c r="Z105" s="54">
        <v>0.0</v>
      </c>
      <c r="AA105" s="54">
        <v>0.0</v>
      </c>
      <c r="AB105" s="54">
        <v>0.0</v>
      </c>
      <c r="AC105" s="55">
        <v>0.0</v>
      </c>
      <c r="AD105" s="54">
        <v>0.0</v>
      </c>
      <c r="AE105" s="54">
        <v>0.0</v>
      </c>
      <c r="AF105" s="54">
        <v>0.0</v>
      </c>
      <c r="AG105" s="54">
        <v>0.0</v>
      </c>
      <c r="AH105" s="54">
        <v>0.0</v>
      </c>
      <c r="AI105" s="54">
        <v>0.0</v>
      </c>
      <c r="AJ105" s="54">
        <v>0.0</v>
      </c>
      <c r="AK105" s="54">
        <v>0.0</v>
      </c>
      <c r="AL105" s="54">
        <v>0.0</v>
      </c>
      <c r="AM105" s="54">
        <v>0.0</v>
      </c>
      <c r="AN105" s="54">
        <v>0.0</v>
      </c>
      <c r="AO105" s="54">
        <v>0.0</v>
      </c>
      <c r="AP105" s="54">
        <v>0.0</v>
      </c>
      <c r="AQ105" s="54">
        <v>0.0</v>
      </c>
      <c r="AR105" s="54">
        <v>0.0</v>
      </c>
      <c r="AS105" s="54">
        <v>0.0</v>
      </c>
      <c r="AT105" s="54">
        <v>1.0</v>
      </c>
      <c r="AU105" s="7">
        <v>0.0</v>
      </c>
      <c r="AV105" s="7">
        <v>0.0</v>
      </c>
      <c r="AW105" s="7">
        <v>0.0</v>
      </c>
      <c r="AX105" s="7">
        <v>0.0</v>
      </c>
      <c r="AY105" s="7">
        <v>0.0</v>
      </c>
      <c r="AZ105" s="7">
        <v>0.0</v>
      </c>
      <c r="BA105" s="7">
        <v>0.0</v>
      </c>
      <c r="BB105" s="7">
        <v>0.0</v>
      </c>
      <c r="BC105" s="7">
        <v>0.0</v>
      </c>
      <c r="BD105" s="7">
        <v>0.0</v>
      </c>
      <c r="BE105" s="7">
        <v>0.0</v>
      </c>
      <c r="BF105" s="7">
        <v>0.0</v>
      </c>
      <c r="BG105" s="7">
        <v>0.0</v>
      </c>
      <c r="BH105" s="7">
        <v>0.0</v>
      </c>
      <c r="BI105" s="7">
        <v>0.0</v>
      </c>
      <c r="BJ105" s="8">
        <v>0.0</v>
      </c>
    </row>
    <row r="106" ht="15.75" customHeight="1">
      <c r="A106" s="80" t="s">
        <v>93</v>
      </c>
      <c r="B106" s="58">
        <v>0.0</v>
      </c>
      <c r="C106" s="58">
        <v>0.0</v>
      </c>
      <c r="D106" s="58">
        <v>0.0</v>
      </c>
      <c r="E106" s="58">
        <v>0.0</v>
      </c>
      <c r="F106" s="58">
        <v>0.0</v>
      </c>
      <c r="G106" s="58">
        <v>0.0</v>
      </c>
      <c r="H106" s="58">
        <v>0.0</v>
      </c>
      <c r="I106" s="58">
        <v>0.0</v>
      </c>
      <c r="J106" s="58">
        <v>0.0</v>
      </c>
      <c r="K106" s="58">
        <v>0.0</v>
      </c>
      <c r="L106" s="58">
        <v>0.0</v>
      </c>
      <c r="M106" s="58">
        <v>0.0</v>
      </c>
      <c r="N106" s="58">
        <v>0.0</v>
      </c>
      <c r="O106" s="58">
        <v>0.0</v>
      </c>
      <c r="P106" s="58">
        <v>0.0</v>
      </c>
      <c r="Q106" s="58">
        <v>0.0</v>
      </c>
      <c r="R106" s="58">
        <v>0.0</v>
      </c>
      <c r="S106" s="58">
        <v>0.0</v>
      </c>
      <c r="T106" s="58">
        <v>0.0</v>
      </c>
      <c r="U106" s="58">
        <v>0.0</v>
      </c>
      <c r="V106" s="58">
        <v>0.0</v>
      </c>
      <c r="W106" s="58">
        <v>0.0</v>
      </c>
      <c r="X106" s="58">
        <v>0.0</v>
      </c>
      <c r="Y106" s="58">
        <v>0.0</v>
      </c>
      <c r="Z106" s="58">
        <v>0.0</v>
      </c>
      <c r="AA106" s="58">
        <v>0.0</v>
      </c>
      <c r="AB106" s="58">
        <v>0.0</v>
      </c>
      <c r="AC106" s="59">
        <v>0.0</v>
      </c>
      <c r="AD106" s="58">
        <v>0.0</v>
      </c>
      <c r="AE106" s="58">
        <v>0.0</v>
      </c>
      <c r="AF106" s="58">
        <v>0.0</v>
      </c>
      <c r="AG106" s="58">
        <v>0.0</v>
      </c>
      <c r="AH106" s="58">
        <v>0.0</v>
      </c>
      <c r="AI106" s="58">
        <v>0.0</v>
      </c>
      <c r="AJ106" s="58">
        <v>0.0</v>
      </c>
      <c r="AK106" s="58">
        <v>0.0</v>
      </c>
      <c r="AL106" s="58">
        <v>0.0</v>
      </c>
      <c r="AM106" s="58">
        <v>0.0</v>
      </c>
      <c r="AN106" s="58">
        <v>0.0</v>
      </c>
      <c r="AO106" s="58">
        <v>0.0</v>
      </c>
      <c r="AP106" s="58">
        <v>0.0</v>
      </c>
      <c r="AQ106" s="58">
        <v>0.0</v>
      </c>
      <c r="AR106" s="58">
        <v>0.0</v>
      </c>
      <c r="AS106" s="58">
        <v>0.0</v>
      </c>
      <c r="AT106" s="58">
        <v>0.0</v>
      </c>
      <c r="AU106" s="58">
        <v>0.0</v>
      </c>
      <c r="AV106" s="58">
        <v>0.0</v>
      </c>
      <c r="AW106" s="58">
        <v>0.0</v>
      </c>
      <c r="AX106" s="58">
        <v>0.0</v>
      </c>
      <c r="AY106" s="58">
        <v>0.0</v>
      </c>
      <c r="AZ106" s="58">
        <v>0.0</v>
      </c>
      <c r="BA106" s="58">
        <v>0.0</v>
      </c>
      <c r="BB106" s="58">
        <v>0.0</v>
      </c>
      <c r="BC106" s="58">
        <v>1.0</v>
      </c>
      <c r="BD106" s="45">
        <v>0.0</v>
      </c>
      <c r="BE106" s="45">
        <v>0.0</v>
      </c>
      <c r="BF106" s="45">
        <v>0.0</v>
      </c>
      <c r="BG106" s="45">
        <v>0.0</v>
      </c>
      <c r="BH106" s="45">
        <v>0.0</v>
      </c>
      <c r="BI106" s="45">
        <v>0.0</v>
      </c>
      <c r="BJ106" s="46">
        <v>0.0</v>
      </c>
    </row>
    <row r="107" ht="15.75" customHeight="1">
      <c r="A107" s="53" t="s">
        <v>60</v>
      </c>
      <c r="B107" s="54">
        <v>0.0</v>
      </c>
      <c r="C107" s="54">
        <v>0.0</v>
      </c>
      <c r="D107" s="54">
        <v>0.0</v>
      </c>
      <c r="E107" s="54">
        <v>0.0</v>
      </c>
      <c r="F107" s="54">
        <v>0.0</v>
      </c>
      <c r="G107" s="54">
        <v>0.0</v>
      </c>
      <c r="H107" s="54">
        <v>0.0</v>
      </c>
      <c r="I107" s="54">
        <v>0.0</v>
      </c>
      <c r="J107" s="54">
        <v>0.0</v>
      </c>
      <c r="K107" s="54">
        <v>0.0</v>
      </c>
      <c r="L107" s="54">
        <v>0.0</v>
      </c>
      <c r="M107" s="54">
        <v>0.0</v>
      </c>
      <c r="N107" s="54">
        <v>0.0</v>
      </c>
      <c r="O107" s="54">
        <v>0.0</v>
      </c>
      <c r="P107" s="54">
        <v>0.0</v>
      </c>
      <c r="Q107" s="54">
        <v>0.0</v>
      </c>
      <c r="R107" s="54">
        <v>0.0</v>
      </c>
      <c r="S107" s="54">
        <v>0.0</v>
      </c>
      <c r="T107" s="54">
        <v>0.0</v>
      </c>
      <c r="U107" s="54">
        <v>0.0</v>
      </c>
      <c r="V107" s="54">
        <v>0.0</v>
      </c>
      <c r="W107" s="54">
        <v>0.0</v>
      </c>
      <c r="X107" s="54">
        <v>0.0</v>
      </c>
      <c r="Y107" s="54">
        <v>0.0</v>
      </c>
      <c r="Z107" s="54">
        <v>0.0</v>
      </c>
      <c r="AA107" s="54">
        <v>0.0</v>
      </c>
      <c r="AB107" s="54">
        <v>0.0</v>
      </c>
      <c r="AC107" s="55">
        <v>0.0</v>
      </c>
      <c r="AD107" s="54">
        <v>2.0</v>
      </c>
      <c r="AE107" s="54">
        <v>2.0</v>
      </c>
      <c r="AF107" s="7">
        <v>0.0</v>
      </c>
      <c r="AG107" s="7">
        <v>0.0</v>
      </c>
      <c r="AH107" s="7">
        <v>0.0</v>
      </c>
      <c r="AI107" s="7">
        <v>0.0</v>
      </c>
      <c r="AJ107" s="7">
        <v>0.0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>
        <v>0.0</v>
      </c>
      <c r="AX107" s="7">
        <v>0.0</v>
      </c>
      <c r="AY107" s="7">
        <v>0.0</v>
      </c>
      <c r="AZ107" s="7">
        <v>0.0</v>
      </c>
      <c r="BA107" s="7">
        <v>0.0</v>
      </c>
      <c r="BB107" s="7">
        <v>0.0</v>
      </c>
      <c r="BC107" s="7">
        <v>0.0</v>
      </c>
      <c r="BD107" s="7">
        <v>0.0</v>
      </c>
      <c r="BE107" s="7">
        <v>0.0</v>
      </c>
      <c r="BF107" s="7">
        <v>0.0</v>
      </c>
      <c r="BG107" s="7">
        <v>0.0</v>
      </c>
      <c r="BH107" s="7">
        <v>0.0</v>
      </c>
      <c r="BI107" s="7">
        <v>0.0</v>
      </c>
      <c r="BJ107" s="8">
        <v>0.0</v>
      </c>
    </row>
    <row r="108" ht="15.75" customHeight="1">
      <c r="A108" s="56" t="s">
        <v>94</v>
      </c>
      <c r="B108" s="54">
        <v>0.0</v>
      </c>
      <c r="C108" s="54">
        <v>0.0</v>
      </c>
      <c r="D108" s="54">
        <v>0.0</v>
      </c>
      <c r="E108" s="54">
        <v>0.0</v>
      </c>
      <c r="F108" s="54">
        <v>0.0</v>
      </c>
      <c r="G108" s="54">
        <v>0.0</v>
      </c>
      <c r="H108" s="54">
        <v>0.0</v>
      </c>
      <c r="I108" s="54">
        <v>0.0</v>
      </c>
      <c r="J108" s="54">
        <v>0.0</v>
      </c>
      <c r="K108" s="54">
        <v>0.0</v>
      </c>
      <c r="L108" s="54">
        <v>0.0</v>
      </c>
      <c r="M108" s="54">
        <v>0.0</v>
      </c>
      <c r="N108" s="54">
        <v>0.0</v>
      </c>
      <c r="O108" s="54">
        <v>0.0</v>
      </c>
      <c r="P108" s="54">
        <v>0.0</v>
      </c>
      <c r="Q108" s="54">
        <v>0.0</v>
      </c>
      <c r="R108" s="54">
        <v>0.0</v>
      </c>
      <c r="S108" s="54">
        <v>0.0</v>
      </c>
      <c r="T108" s="54">
        <v>0.0</v>
      </c>
      <c r="U108" s="54">
        <v>0.0</v>
      </c>
      <c r="V108" s="54">
        <v>0.0</v>
      </c>
      <c r="W108" s="54">
        <v>0.0</v>
      </c>
      <c r="X108" s="54">
        <v>0.0</v>
      </c>
      <c r="Y108" s="54">
        <v>0.0</v>
      </c>
      <c r="Z108" s="54">
        <v>0.0</v>
      </c>
      <c r="AA108" s="54">
        <v>0.0</v>
      </c>
      <c r="AB108" s="54">
        <v>0.0</v>
      </c>
      <c r="AC108" s="55">
        <v>0.0</v>
      </c>
      <c r="AD108" s="54">
        <v>0.0</v>
      </c>
      <c r="AE108" s="54">
        <v>0.0</v>
      </c>
      <c r="AF108" s="54">
        <v>0.0</v>
      </c>
      <c r="AG108" s="54">
        <v>0.0</v>
      </c>
      <c r="AH108" s="54">
        <v>3.0</v>
      </c>
      <c r="AI108" s="7">
        <v>0.0</v>
      </c>
      <c r="AJ108" s="7">
        <v>0.0</v>
      </c>
      <c r="AK108" s="7">
        <v>0.0</v>
      </c>
      <c r="AL108" s="7">
        <v>0.0</v>
      </c>
      <c r="AM108" s="7">
        <v>0.0</v>
      </c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  <c r="AV108" s="7">
        <v>0.0</v>
      </c>
      <c r="AW108" s="7">
        <v>0.0</v>
      </c>
      <c r="AX108" s="7">
        <v>0.0</v>
      </c>
      <c r="AY108" s="7">
        <v>0.0</v>
      </c>
      <c r="AZ108" s="7">
        <v>0.0</v>
      </c>
      <c r="BA108" s="7">
        <v>0.0</v>
      </c>
      <c r="BB108" s="7">
        <v>0.0</v>
      </c>
      <c r="BC108" s="7">
        <v>0.0</v>
      </c>
      <c r="BD108" s="7">
        <v>0.0</v>
      </c>
      <c r="BE108" s="7">
        <v>0.0</v>
      </c>
      <c r="BF108" s="7">
        <v>0.0</v>
      </c>
      <c r="BG108" s="7">
        <v>0.0</v>
      </c>
      <c r="BH108" s="7">
        <v>0.0</v>
      </c>
      <c r="BI108" s="7">
        <v>0.0</v>
      </c>
      <c r="BJ108" s="8">
        <v>0.0</v>
      </c>
    </row>
    <row r="109" ht="15.75" customHeight="1">
      <c r="A109" s="56" t="s">
        <v>95</v>
      </c>
      <c r="B109" s="54">
        <v>0.0</v>
      </c>
      <c r="C109" s="54">
        <v>0.0</v>
      </c>
      <c r="D109" s="54">
        <v>0.0</v>
      </c>
      <c r="E109" s="54">
        <v>0.0</v>
      </c>
      <c r="F109" s="54">
        <v>0.0</v>
      </c>
      <c r="G109" s="54">
        <v>0.0</v>
      </c>
      <c r="H109" s="54">
        <v>0.0</v>
      </c>
      <c r="I109" s="54">
        <v>0.0</v>
      </c>
      <c r="J109" s="54">
        <v>0.0</v>
      </c>
      <c r="K109" s="54">
        <v>0.0</v>
      </c>
      <c r="L109" s="54">
        <v>0.0</v>
      </c>
      <c r="M109" s="54">
        <v>0.0</v>
      </c>
      <c r="N109" s="54">
        <v>0.0</v>
      </c>
      <c r="O109" s="54">
        <v>0.0</v>
      </c>
      <c r="P109" s="54">
        <v>0.0</v>
      </c>
      <c r="Q109" s="54">
        <v>0.0</v>
      </c>
      <c r="R109" s="54">
        <v>0.0</v>
      </c>
      <c r="S109" s="54">
        <v>0.0</v>
      </c>
      <c r="T109" s="54">
        <v>0.0</v>
      </c>
      <c r="U109" s="54">
        <v>0.0</v>
      </c>
      <c r="V109" s="54">
        <v>0.0</v>
      </c>
      <c r="W109" s="54">
        <v>0.0</v>
      </c>
      <c r="X109" s="54">
        <v>0.0</v>
      </c>
      <c r="Y109" s="54">
        <v>0.0</v>
      </c>
      <c r="Z109" s="54">
        <v>0.0</v>
      </c>
      <c r="AA109" s="54">
        <v>0.0</v>
      </c>
      <c r="AB109" s="54">
        <v>0.0</v>
      </c>
      <c r="AC109" s="55">
        <v>0.0</v>
      </c>
      <c r="AD109" s="54">
        <v>0.0</v>
      </c>
      <c r="AE109" s="54">
        <v>0.0</v>
      </c>
      <c r="AF109" s="54">
        <v>0.0</v>
      </c>
      <c r="AG109" s="54">
        <v>0.0</v>
      </c>
      <c r="AH109" s="54">
        <v>0.0</v>
      </c>
      <c r="AI109" s="54">
        <v>0.0</v>
      </c>
      <c r="AJ109" s="54">
        <v>4.0</v>
      </c>
      <c r="AK109" s="54">
        <v>4.0</v>
      </c>
      <c r="AL109" s="54">
        <v>3.0</v>
      </c>
      <c r="AM109" s="7">
        <v>0.0</v>
      </c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  <c r="AV109" s="7">
        <v>0.0</v>
      </c>
      <c r="AW109" s="7">
        <v>0.0</v>
      </c>
      <c r="AX109" s="7">
        <v>0.0</v>
      </c>
      <c r="AY109" s="7">
        <v>0.0</v>
      </c>
      <c r="AZ109" s="7">
        <v>0.0</v>
      </c>
      <c r="BA109" s="7">
        <v>0.0</v>
      </c>
      <c r="BB109" s="7">
        <v>0.0</v>
      </c>
      <c r="BC109" s="7">
        <v>0.0</v>
      </c>
      <c r="BD109" s="7">
        <v>0.0</v>
      </c>
      <c r="BE109" s="7">
        <v>0.0</v>
      </c>
      <c r="BF109" s="7">
        <v>0.0</v>
      </c>
      <c r="BG109" s="7">
        <v>0.0</v>
      </c>
      <c r="BH109" s="7">
        <v>0.0</v>
      </c>
      <c r="BI109" s="7">
        <v>0.0</v>
      </c>
      <c r="BJ109" s="8">
        <v>0.0</v>
      </c>
    </row>
    <row r="110" ht="15.75" customHeight="1">
      <c r="A110" s="56" t="s">
        <v>96</v>
      </c>
      <c r="B110" s="54">
        <v>0.0</v>
      </c>
      <c r="C110" s="54">
        <v>0.0</v>
      </c>
      <c r="D110" s="54">
        <v>0.0</v>
      </c>
      <c r="E110" s="54">
        <v>0.0</v>
      </c>
      <c r="F110" s="54">
        <v>0.0</v>
      </c>
      <c r="G110" s="54">
        <v>0.0</v>
      </c>
      <c r="H110" s="54">
        <v>0.0</v>
      </c>
      <c r="I110" s="54">
        <v>0.0</v>
      </c>
      <c r="J110" s="54">
        <v>0.0</v>
      </c>
      <c r="K110" s="54">
        <v>0.0</v>
      </c>
      <c r="L110" s="54">
        <v>0.0</v>
      </c>
      <c r="M110" s="54">
        <v>0.0</v>
      </c>
      <c r="N110" s="54">
        <v>0.0</v>
      </c>
      <c r="O110" s="54">
        <v>0.0</v>
      </c>
      <c r="P110" s="54">
        <v>0.0</v>
      </c>
      <c r="Q110" s="54">
        <v>0.0</v>
      </c>
      <c r="R110" s="54">
        <v>0.0</v>
      </c>
      <c r="S110" s="54">
        <v>0.0</v>
      </c>
      <c r="T110" s="54">
        <v>0.0</v>
      </c>
      <c r="U110" s="54">
        <v>0.0</v>
      </c>
      <c r="V110" s="54">
        <v>0.0</v>
      </c>
      <c r="W110" s="54">
        <v>0.0</v>
      </c>
      <c r="X110" s="54">
        <v>0.0</v>
      </c>
      <c r="Y110" s="54">
        <v>0.0</v>
      </c>
      <c r="Z110" s="54">
        <v>0.0</v>
      </c>
      <c r="AA110" s="54">
        <v>0.0</v>
      </c>
      <c r="AB110" s="54">
        <v>0.0</v>
      </c>
      <c r="AC110" s="55">
        <v>0.0</v>
      </c>
      <c r="AD110" s="54">
        <v>0.0</v>
      </c>
      <c r="AE110" s="54">
        <v>0.0</v>
      </c>
      <c r="AF110" s="54">
        <v>0.0</v>
      </c>
      <c r="AG110" s="54">
        <v>0.0</v>
      </c>
      <c r="AH110" s="54">
        <v>0.0</v>
      </c>
      <c r="AI110" s="54">
        <v>0.0</v>
      </c>
      <c r="AJ110" s="54">
        <v>0.0</v>
      </c>
      <c r="AK110" s="54">
        <v>0.0</v>
      </c>
      <c r="AL110" s="54">
        <v>4.0</v>
      </c>
      <c r="AM110" s="54">
        <v>5.0</v>
      </c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  <c r="AV110" s="7">
        <v>0.0</v>
      </c>
      <c r="AW110" s="7">
        <v>0.0</v>
      </c>
      <c r="AX110" s="7">
        <v>0.0</v>
      </c>
      <c r="AY110" s="7">
        <v>0.0</v>
      </c>
      <c r="AZ110" s="7">
        <v>0.0</v>
      </c>
      <c r="BA110" s="7">
        <v>0.0</v>
      </c>
      <c r="BB110" s="7">
        <v>0.0</v>
      </c>
      <c r="BC110" s="7">
        <v>0.0</v>
      </c>
      <c r="BD110" s="7">
        <v>0.0</v>
      </c>
      <c r="BE110" s="7">
        <v>0.0</v>
      </c>
      <c r="BF110" s="7">
        <v>0.0</v>
      </c>
      <c r="BG110" s="7">
        <v>0.0</v>
      </c>
      <c r="BH110" s="7">
        <v>0.0</v>
      </c>
      <c r="BI110" s="7">
        <v>0.0</v>
      </c>
      <c r="BJ110" s="8">
        <v>0.0</v>
      </c>
    </row>
    <row r="111" ht="15.75" customHeight="1">
      <c r="A111" s="57" t="s">
        <v>97</v>
      </c>
      <c r="B111" s="58">
        <v>0.0</v>
      </c>
      <c r="C111" s="58">
        <v>0.0</v>
      </c>
      <c r="D111" s="58">
        <v>0.0</v>
      </c>
      <c r="E111" s="58">
        <v>0.0</v>
      </c>
      <c r="F111" s="58">
        <v>0.0</v>
      </c>
      <c r="G111" s="58">
        <v>0.0</v>
      </c>
      <c r="H111" s="58">
        <v>0.0</v>
      </c>
      <c r="I111" s="58">
        <v>0.0</v>
      </c>
      <c r="J111" s="58">
        <v>0.0</v>
      </c>
      <c r="K111" s="58">
        <v>0.0</v>
      </c>
      <c r="L111" s="58">
        <v>0.0</v>
      </c>
      <c r="M111" s="58">
        <v>0.0</v>
      </c>
      <c r="N111" s="58">
        <v>0.0</v>
      </c>
      <c r="O111" s="58">
        <v>0.0</v>
      </c>
      <c r="P111" s="58">
        <v>0.0</v>
      </c>
      <c r="Q111" s="58">
        <v>0.0</v>
      </c>
      <c r="R111" s="58">
        <v>0.0</v>
      </c>
      <c r="S111" s="58">
        <v>0.0</v>
      </c>
      <c r="T111" s="58">
        <v>0.0</v>
      </c>
      <c r="U111" s="58">
        <v>0.0</v>
      </c>
      <c r="V111" s="58">
        <v>0.0</v>
      </c>
      <c r="W111" s="58">
        <v>0.0</v>
      </c>
      <c r="X111" s="58">
        <v>0.0</v>
      </c>
      <c r="Y111" s="58">
        <v>0.0</v>
      </c>
      <c r="Z111" s="58">
        <v>0.0</v>
      </c>
      <c r="AA111" s="58">
        <v>0.0</v>
      </c>
      <c r="AB111" s="58">
        <v>0.0</v>
      </c>
      <c r="AC111" s="59">
        <v>0.0</v>
      </c>
      <c r="AD111" s="58">
        <v>0.0</v>
      </c>
      <c r="AE111" s="58">
        <v>0.0</v>
      </c>
      <c r="AF111" s="58">
        <v>0.0</v>
      </c>
      <c r="AG111" s="58">
        <v>0.0</v>
      </c>
      <c r="AH111" s="58">
        <v>0.0</v>
      </c>
      <c r="AI111" s="58">
        <v>0.0</v>
      </c>
      <c r="AJ111" s="58">
        <v>0.0</v>
      </c>
      <c r="AK111" s="58">
        <v>0.0</v>
      </c>
      <c r="AL111" s="58">
        <v>0.0</v>
      </c>
      <c r="AM111" s="58">
        <v>1.0</v>
      </c>
      <c r="AN111" s="58">
        <v>5.0</v>
      </c>
      <c r="AO111" s="45">
        <v>0.0</v>
      </c>
      <c r="AP111" s="45">
        <v>0.0</v>
      </c>
      <c r="AQ111" s="45">
        <v>0.0</v>
      </c>
      <c r="AR111" s="45">
        <v>0.0</v>
      </c>
      <c r="AS111" s="45">
        <v>0.0</v>
      </c>
      <c r="AT111" s="45">
        <v>0.0</v>
      </c>
      <c r="AU111" s="45">
        <v>0.0</v>
      </c>
      <c r="AV111" s="45">
        <v>0.0</v>
      </c>
      <c r="AW111" s="45">
        <v>0.0</v>
      </c>
      <c r="AX111" s="45">
        <v>0.0</v>
      </c>
      <c r="AY111" s="45">
        <v>0.0</v>
      </c>
      <c r="AZ111" s="45">
        <v>0.0</v>
      </c>
      <c r="BA111" s="45">
        <v>0.0</v>
      </c>
      <c r="BB111" s="45">
        <v>0.0</v>
      </c>
      <c r="BC111" s="45">
        <v>0.0</v>
      </c>
      <c r="BD111" s="45">
        <v>0.0</v>
      </c>
      <c r="BE111" s="45">
        <v>0.0</v>
      </c>
      <c r="BF111" s="45">
        <v>0.0</v>
      </c>
      <c r="BG111" s="45">
        <v>0.0</v>
      </c>
      <c r="BH111" s="45">
        <v>0.0</v>
      </c>
      <c r="BI111" s="45">
        <v>0.0</v>
      </c>
      <c r="BJ111" s="46">
        <v>0.0</v>
      </c>
    </row>
    <row r="112" ht="15.75" customHeight="1">
      <c r="A112" s="60" t="s">
        <v>60</v>
      </c>
      <c r="B112" s="54">
        <v>0.0</v>
      </c>
      <c r="C112" s="54">
        <v>0.0</v>
      </c>
      <c r="D112" s="54">
        <v>0.0</v>
      </c>
      <c r="E112" s="54">
        <v>0.0</v>
      </c>
      <c r="F112" s="54">
        <v>0.0</v>
      </c>
      <c r="G112" s="54">
        <v>0.0</v>
      </c>
      <c r="H112" s="54">
        <v>0.0</v>
      </c>
      <c r="I112" s="54">
        <v>0.0</v>
      </c>
      <c r="J112" s="54">
        <v>0.0</v>
      </c>
      <c r="K112" s="54">
        <v>0.0</v>
      </c>
      <c r="L112" s="54">
        <v>0.0</v>
      </c>
      <c r="M112" s="54">
        <v>0.0</v>
      </c>
      <c r="N112" s="54">
        <v>0.0</v>
      </c>
      <c r="O112" s="54">
        <v>0.0</v>
      </c>
      <c r="P112" s="54">
        <v>0.0</v>
      </c>
      <c r="Q112" s="54">
        <v>0.0</v>
      </c>
      <c r="R112" s="54">
        <v>0.0</v>
      </c>
      <c r="S112" s="54">
        <v>0.0</v>
      </c>
      <c r="T112" s="54">
        <v>0.0</v>
      </c>
      <c r="U112" s="54">
        <v>0.0</v>
      </c>
      <c r="V112" s="54">
        <v>0.0</v>
      </c>
      <c r="W112" s="54">
        <v>0.0</v>
      </c>
      <c r="X112" s="54">
        <v>0.0</v>
      </c>
      <c r="Y112" s="54">
        <v>0.0</v>
      </c>
      <c r="Z112" s="54">
        <v>0.0</v>
      </c>
      <c r="AA112" s="54">
        <v>0.0</v>
      </c>
      <c r="AB112" s="54">
        <v>0.0</v>
      </c>
      <c r="AC112" s="55">
        <v>0.0</v>
      </c>
      <c r="AD112" s="54">
        <v>5.0</v>
      </c>
      <c r="AE112" s="54">
        <v>4.0</v>
      </c>
      <c r="AF112" s="7">
        <v>0.0</v>
      </c>
      <c r="AG112" s="7">
        <v>0.0</v>
      </c>
      <c r="AH112" s="7">
        <v>0.0</v>
      </c>
      <c r="AI112" s="7">
        <v>0.0</v>
      </c>
      <c r="AJ112" s="7">
        <v>0.0</v>
      </c>
      <c r="AK112" s="7">
        <v>0.0</v>
      </c>
      <c r="AL112" s="7">
        <v>0.0</v>
      </c>
      <c r="AM112" s="7">
        <v>0.0</v>
      </c>
      <c r="AN112" s="7">
        <v>0.0</v>
      </c>
      <c r="AO112" s="7">
        <v>0.0</v>
      </c>
      <c r="AP112" s="7">
        <v>0.0</v>
      </c>
      <c r="AQ112" s="7">
        <v>0.0</v>
      </c>
      <c r="AR112" s="7">
        <v>0.0</v>
      </c>
      <c r="AS112" s="7">
        <v>0.0</v>
      </c>
      <c r="AT112" s="7">
        <v>0.0</v>
      </c>
      <c r="AU112" s="7">
        <v>0.0</v>
      </c>
      <c r="AV112" s="7">
        <v>0.0</v>
      </c>
      <c r="AW112" s="7">
        <v>0.0</v>
      </c>
      <c r="AX112" s="7">
        <v>0.0</v>
      </c>
      <c r="AY112" s="7">
        <v>0.0</v>
      </c>
      <c r="AZ112" s="7">
        <v>0.0</v>
      </c>
      <c r="BA112" s="7">
        <v>0.0</v>
      </c>
      <c r="BB112" s="7">
        <v>0.0</v>
      </c>
      <c r="BC112" s="7">
        <v>0.0</v>
      </c>
      <c r="BD112" s="7">
        <v>0.0</v>
      </c>
      <c r="BE112" s="7">
        <v>0.0</v>
      </c>
      <c r="BF112" s="7">
        <v>0.0</v>
      </c>
      <c r="BG112" s="7">
        <v>0.0</v>
      </c>
      <c r="BH112" s="7">
        <v>0.0</v>
      </c>
      <c r="BI112" s="7">
        <v>0.0</v>
      </c>
      <c r="BJ112" s="8">
        <v>0.0</v>
      </c>
    </row>
    <row r="113" ht="15.75" customHeight="1">
      <c r="A113" s="61" t="s">
        <v>61</v>
      </c>
      <c r="B113" s="54">
        <v>0.0</v>
      </c>
      <c r="C113" s="54">
        <v>0.0</v>
      </c>
      <c r="D113" s="54">
        <v>0.0</v>
      </c>
      <c r="E113" s="54">
        <v>0.0</v>
      </c>
      <c r="F113" s="54">
        <v>0.0</v>
      </c>
      <c r="G113" s="54">
        <v>0.0</v>
      </c>
      <c r="H113" s="54">
        <v>0.0</v>
      </c>
      <c r="I113" s="54">
        <v>0.0</v>
      </c>
      <c r="J113" s="54">
        <v>0.0</v>
      </c>
      <c r="K113" s="54">
        <v>0.0</v>
      </c>
      <c r="L113" s="54">
        <v>0.0</v>
      </c>
      <c r="M113" s="54">
        <v>0.0</v>
      </c>
      <c r="N113" s="54">
        <v>0.0</v>
      </c>
      <c r="O113" s="54">
        <v>0.0</v>
      </c>
      <c r="P113" s="54">
        <v>0.0</v>
      </c>
      <c r="Q113" s="54">
        <v>0.0</v>
      </c>
      <c r="R113" s="54">
        <v>0.0</v>
      </c>
      <c r="S113" s="54">
        <v>0.0</v>
      </c>
      <c r="T113" s="54">
        <v>0.0</v>
      </c>
      <c r="U113" s="54">
        <v>0.0</v>
      </c>
      <c r="V113" s="54">
        <v>0.0</v>
      </c>
      <c r="W113" s="54">
        <v>0.0</v>
      </c>
      <c r="X113" s="54">
        <v>0.0</v>
      </c>
      <c r="Y113" s="54">
        <v>0.0</v>
      </c>
      <c r="Z113" s="54">
        <v>0.0</v>
      </c>
      <c r="AA113" s="54">
        <v>0.0</v>
      </c>
      <c r="AB113" s="54">
        <v>0.0</v>
      </c>
      <c r="AC113" s="55">
        <v>0.0</v>
      </c>
      <c r="AD113" s="54">
        <v>0.0</v>
      </c>
      <c r="AE113" s="54">
        <v>0.0</v>
      </c>
      <c r="AF113" s="54">
        <v>0.0</v>
      </c>
      <c r="AG113" s="54">
        <v>0.0</v>
      </c>
      <c r="AH113" s="54">
        <v>6.0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0.0</v>
      </c>
      <c r="AV113" s="7">
        <v>0.0</v>
      </c>
      <c r="AW113" s="7">
        <v>0.0</v>
      </c>
      <c r="AX113" s="7">
        <v>0.0</v>
      </c>
      <c r="AY113" s="7">
        <v>0.0</v>
      </c>
      <c r="AZ113" s="7">
        <v>0.0</v>
      </c>
      <c r="BA113" s="7">
        <v>0.0</v>
      </c>
      <c r="BB113" s="7">
        <v>0.0</v>
      </c>
      <c r="BC113" s="7">
        <v>0.0</v>
      </c>
      <c r="BD113" s="7">
        <v>0.0</v>
      </c>
      <c r="BE113" s="7">
        <v>0.0</v>
      </c>
      <c r="BF113" s="7">
        <v>0.0</v>
      </c>
      <c r="BG113" s="7">
        <v>0.0</v>
      </c>
      <c r="BH113" s="7">
        <v>0.0</v>
      </c>
      <c r="BI113" s="7">
        <v>0.0</v>
      </c>
      <c r="BJ113" s="8">
        <v>0.0</v>
      </c>
    </row>
    <row r="114" ht="15.75" customHeight="1">
      <c r="A114" s="61" t="s">
        <v>98</v>
      </c>
      <c r="B114" s="54">
        <v>0.0</v>
      </c>
      <c r="C114" s="54">
        <v>0.0</v>
      </c>
      <c r="D114" s="54">
        <v>0.0</v>
      </c>
      <c r="E114" s="54">
        <v>0.0</v>
      </c>
      <c r="F114" s="54">
        <v>0.0</v>
      </c>
      <c r="G114" s="54">
        <v>0.0</v>
      </c>
      <c r="H114" s="54">
        <v>0.0</v>
      </c>
      <c r="I114" s="54">
        <v>0.0</v>
      </c>
      <c r="J114" s="54">
        <v>0.0</v>
      </c>
      <c r="K114" s="54">
        <v>0.0</v>
      </c>
      <c r="L114" s="54">
        <v>0.0</v>
      </c>
      <c r="M114" s="54">
        <v>0.0</v>
      </c>
      <c r="N114" s="54">
        <v>0.0</v>
      </c>
      <c r="O114" s="54">
        <v>0.0</v>
      </c>
      <c r="P114" s="54">
        <v>0.0</v>
      </c>
      <c r="Q114" s="54">
        <v>0.0</v>
      </c>
      <c r="R114" s="54">
        <v>0.0</v>
      </c>
      <c r="S114" s="54">
        <v>0.0</v>
      </c>
      <c r="T114" s="54">
        <v>0.0</v>
      </c>
      <c r="U114" s="54">
        <v>0.0</v>
      </c>
      <c r="V114" s="54">
        <v>0.0</v>
      </c>
      <c r="W114" s="54">
        <v>0.0</v>
      </c>
      <c r="X114" s="54">
        <v>0.0</v>
      </c>
      <c r="Y114" s="54">
        <v>0.0</v>
      </c>
      <c r="Z114" s="54">
        <v>0.0</v>
      </c>
      <c r="AA114" s="54">
        <v>0.0</v>
      </c>
      <c r="AB114" s="54">
        <v>0.0</v>
      </c>
      <c r="AC114" s="55">
        <v>0.0</v>
      </c>
      <c r="AD114" s="54">
        <v>0.0</v>
      </c>
      <c r="AE114" s="54">
        <v>0.0</v>
      </c>
      <c r="AF114" s="54">
        <v>0.0</v>
      </c>
      <c r="AG114" s="54">
        <v>0.0</v>
      </c>
      <c r="AH114" s="54">
        <v>0.0</v>
      </c>
      <c r="AI114" s="54">
        <v>0.0</v>
      </c>
      <c r="AJ114" s="54">
        <v>3.0</v>
      </c>
      <c r="AK114" s="54">
        <v>6.0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0.0</v>
      </c>
      <c r="AX114" s="7">
        <v>0.0</v>
      </c>
      <c r="AY114" s="7">
        <v>0.0</v>
      </c>
      <c r="AZ114" s="7">
        <v>0.0</v>
      </c>
      <c r="BA114" s="7">
        <v>0.0</v>
      </c>
      <c r="BB114" s="7">
        <v>0.0</v>
      </c>
      <c r="BC114" s="7">
        <v>0.0</v>
      </c>
      <c r="BD114" s="7">
        <v>0.0</v>
      </c>
      <c r="BE114" s="7">
        <v>0.0</v>
      </c>
      <c r="BF114" s="7">
        <v>0.0</v>
      </c>
      <c r="BG114" s="7">
        <v>0.0</v>
      </c>
      <c r="BH114" s="7">
        <v>0.0</v>
      </c>
      <c r="BI114" s="7">
        <v>0.0</v>
      </c>
      <c r="BJ114" s="8">
        <v>0.0</v>
      </c>
    </row>
    <row r="115" ht="15.75" customHeight="1">
      <c r="A115" s="61" t="s">
        <v>99</v>
      </c>
      <c r="B115" s="54">
        <v>0.0</v>
      </c>
      <c r="C115" s="54">
        <v>0.0</v>
      </c>
      <c r="D115" s="54">
        <v>0.0</v>
      </c>
      <c r="E115" s="54">
        <v>0.0</v>
      </c>
      <c r="F115" s="54">
        <v>0.0</v>
      </c>
      <c r="G115" s="54">
        <v>0.0</v>
      </c>
      <c r="H115" s="54">
        <v>0.0</v>
      </c>
      <c r="I115" s="54">
        <v>0.0</v>
      </c>
      <c r="J115" s="54">
        <v>0.0</v>
      </c>
      <c r="K115" s="54">
        <v>0.0</v>
      </c>
      <c r="L115" s="54">
        <v>0.0</v>
      </c>
      <c r="M115" s="54">
        <v>0.0</v>
      </c>
      <c r="N115" s="54">
        <v>0.0</v>
      </c>
      <c r="O115" s="54">
        <v>0.0</v>
      </c>
      <c r="P115" s="54">
        <v>0.0</v>
      </c>
      <c r="Q115" s="54">
        <v>0.0</v>
      </c>
      <c r="R115" s="54">
        <v>0.0</v>
      </c>
      <c r="S115" s="54">
        <v>0.0</v>
      </c>
      <c r="T115" s="54">
        <v>0.0</v>
      </c>
      <c r="U115" s="54">
        <v>0.0</v>
      </c>
      <c r="V115" s="54">
        <v>0.0</v>
      </c>
      <c r="W115" s="54">
        <v>0.0</v>
      </c>
      <c r="X115" s="54">
        <v>0.0</v>
      </c>
      <c r="Y115" s="54">
        <v>0.0</v>
      </c>
      <c r="Z115" s="54">
        <v>0.0</v>
      </c>
      <c r="AA115" s="54">
        <v>0.0</v>
      </c>
      <c r="AB115" s="54">
        <v>0.0</v>
      </c>
      <c r="AC115" s="55">
        <v>0.0</v>
      </c>
      <c r="AD115" s="54">
        <v>0.0</v>
      </c>
      <c r="AE115" s="54">
        <v>0.0</v>
      </c>
      <c r="AF115" s="54">
        <v>0.0</v>
      </c>
      <c r="AG115" s="54">
        <v>0.0</v>
      </c>
      <c r="AH115" s="54">
        <v>0.0</v>
      </c>
      <c r="AI115" s="54">
        <v>0.0</v>
      </c>
      <c r="AJ115" s="54">
        <v>0.0</v>
      </c>
      <c r="AK115" s="54">
        <v>2.0</v>
      </c>
      <c r="AL115" s="54">
        <v>3.0</v>
      </c>
      <c r="AM115" s="7">
        <v>0.0</v>
      </c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  <c r="AV115" s="7">
        <v>0.0</v>
      </c>
      <c r="AW115" s="7">
        <v>0.0</v>
      </c>
      <c r="AX115" s="7">
        <v>0.0</v>
      </c>
      <c r="AY115" s="7">
        <v>0.0</v>
      </c>
      <c r="AZ115" s="7">
        <v>0.0</v>
      </c>
      <c r="BA115" s="7">
        <v>0.0</v>
      </c>
      <c r="BB115" s="7">
        <v>0.0</v>
      </c>
      <c r="BC115" s="7">
        <v>0.0</v>
      </c>
      <c r="BD115" s="7">
        <v>0.0</v>
      </c>
      <c r="BE115" s="7">
        <v>0.0</v>
      </c>
      <c r="BF115" s="7">
        <v>0.0</v>
      </c>
      <c r="BG115" s="7">
        <v>0.0</v>
      </c>
      <c r="BH115" s="7">
        <v>0.0</v>
      </c>
      <c r="BI115" s="7">
        <v>0.0</v>
      </c>
      <c r="BJ115" s="8">
        <v>0.0</v>
      </c>
    </row>
    <row r="116" ht="15.75" customHeight="1">
      <c r="A116" s="61" t="s">
        <v>100</v>
      </c>
      <c r="B116" s="54">
        <v>0.0</v>
      </c>
      <c r="C116" s="54">
        <v>0.0</v>
      </c>
      <c r="D116" s="54">
        <v>0.0</v>
      </c>
      <c r="E116" s="54">
        <v>0.0</v>
      </c>
      <c r="F116" s="54">
        <v>0.0</v>
      </c>
      <c r="G116" s="54">
        <v>0.0</v>
      </c>
      <c r="H116" s="54">
        <v>0.0</v>
      </c>
      <c r="I116" s="54">
        <v>0.0</v>
      </c>
      <c r="J116" s="54">
        <v>0.0</v>
      </c>
      <c r="K116" s="54">
        <v>0.0</v>
      </c>
      <c r="L116" s="54">
        <v>0.0</v>
      </c>
      <c r="M116" s="54">
        <v>0.0</v>
      </c>
      <c r="N116" s="54">
        <v>0.0</v>
      </c>
      <c r="O116" s="54">
        <v>0.0</v>
      </c>
      <c r="P116" s="54">
        <v>0.0</v>
      </c>
      <c r="Q116" s="54">
        <v>0.0</v>
      </c>
      <c r="R116" s="54">
        <v>0.0</v>
      </c>
      <c r="S116" s="54">
        <v>0.0</v>
      </c>
      <c r="T116" s="54">
        <v>0.0</v>
      </c>
      <c r="U116" s="54">
        <v>0.0</v>
      </c>
      <c r="V116" s="54">
        <v>0.0</v>
      </c>
      <c r="W116" s="54">
        <v>0.0</v>
      </c>
      <c r="X116" s="54">
        <v>0.0</v>
      </c>
      <c r="Y116" s="54">
        <v>0.0</v>
      </c>
      <c r="Z116" s="54">
        <v>0.0</v>
      </c>
      <c r="AA116" s="54">
        <v>0.0</v>
      </c>
      <c r="AB116" s="54">
        <v>0.0</v>
      </c>
      <c r="AC116" s="55">
        <v>0.0</v>
      </c>
      <c r="AD116" s="54">
        <v>0.0</v>
      </c>
      <c r="AE116" s="54">
        <v>0.0</v>
      </c>
      <c r="AF116" s="54">
        <v>0.0</v>
      </c>
      <c r="AG116" s="54">
        <v>0.0</v>
      </c>
      <c r="AH116" s="54">
        <v>0.0</v>
      </c>
      <c r="AI116" s="54">
        <v>0.0</v>
      </c>
      <c r="AJ116" s="54">
        <v>0.0</v>
      </c>
      <c r="AK116" s="54">
        <v>0.0</v>
      </c>
      <c r="AL116" s="54">
        <v>3.0</v>
      </c>
      <c r="AM116" s="54">
        <v>1.0</v>
      </c>
      <c r="AN116" s="7">
        <v>0.0</v>
      </c>
      <c r="AO116" s="7">
        <v>0.0</v>
      </c>
      <c r="AP116" s="7">
        <v>0.0</v>
      </c>
      <c r="AQ116" s="7">
        <v>0.0</v>
      </c>
      <c r="AR116" s="7">
        <v>0.0</v>
      </c>
      <c r="AS116" s="7">
        <v>0.0</v>
      </c>
      <c r="AT116" s="7">
        <v>0.0</v>
      </c>
      <c r="AU116" s="7">
        <v>0.0</v>
      </c>
      <c r="AV116" s="7">
        <v>0.0</v>
      </c>
      <c r="AW116" s="7">
        <v>0.0</v>
      </c>
      <c r="AX116" s="7">
        <v>0.0</v>
      </c>
      <c r="AY116" s="7">
        <v>0.0</v>
      </c>
      <c r="AZ116" s="7">
        <v>0.0</v>
      </c>
      <c r="BA116" s="7">
        <v>0.0</v>
      </c>
      <c r="BB116" s="7">
        <v>0.0</v>
      </c>
      <c r="BC116" s="7">
        <v>0.0</v>
      </c>
      <c r="BD116" s="7">
        <v>0.0</v>
      </c>
      <c r="BE116" s="7">
        <v>0.0</v>
      </c>
      <c r="BF116" s="7">
        <v>0.0</v>
      </c>
      <c r="BG116" s="7">
        <v>0.0</v>
      </c>
      <c r="BH116" s="7">
        <v>0.0</v>
      </c>
      <c r="BI116" s="7">
        <v>0.0</v>
      </c>
      <c r="BJ116" s="8">
        <v>0.0</v>
      </c>
    </row>
    <row r="117" ht="15.75" customHeight="1">
      <c r="A117" s="62" t="s">
        <v>101</v>
      </c>
      <c r="B117" s="58">
        <v>0.0</v>
      </c>
      <c r="C117" s="58">
        <v>0.0</v>
      </c>
      <c r="D117" s="58">
        <v>0.0</v>
      </c>
      <c r="E117" s="58">
        <v>0.0</v>
      </c>
      <c r="F117" s="58">
        <v>0.0</v>
      </c>
      <c r="G117" s="58">
        <v>0.0</v>
      </c>
      <c r="H117" s="58">
        <v>0.0</v>
      </c>
      <c r="I117" s="58">
        <v>0.0</v>
      </c>
      <c r="J117" s="58">
        <v>0.0</v>
      </c>
      <c r="K117" s="58">
        <v>0.0</v>
      </c>
      <c r="L117" s="58">
        <v>0.0</v>
      </c>
      <c r="M117" s="58">
        <v>0.0</v>
      </c>
      <c r="N117" s="58">
        <v>0.0</v>
      </c>
      <c r="O117" s="58">
        <v>0.0</v>
      </c>
      <c r="P117" s="58">
        <v>0.0</v>
      </c>
      <c r="Q117" s="58">
        <v>0.0</v>
      </c>
      <c r="R117" s="58">
        <v>0.0</v>
      </c>
      <c r="S117" s="58">
        <v>0.0</v>
      </c>
      <c r="T117" s="58">
        <v>0.0</v>
      </c>
      <c r="U117" s="58">
        <v>0.0</v>
      </c>
      <c r="V117" s="58">
        <v>0.0</v>
      </c>
      <c r="W117" s="58">
        <v>0.0</v>
      </c>
      <c r="X117" s="58">
        <v>0.0</v>
      </c>
      <c r="Y117" s="58">
        <v>0.0</v>
      </c>
      <c r="Z117" s="58">
        <v>0.0</v>
      </c>
      <c r="AA117" s="58">
        <v>0.0</v>
      </c>
      <c r="AB117" s="58">
        <v>0.0</v>
      </c>
      <c r="AC117" s="59">
        <v>0.0</v>
      </c>
      <c r="AD117" s="58">
        <v>0.0</v>
      </c>
      <c r="AE117" s="58">
        <v>0.0</v>
      </c>
      <c r="AF117" s="58">
        <v>0.0</v>
      </c>
      <c r="AG117" s="58">
        <v>0.0</v>
      </c>
      <c r="AH117" s="58">
        <v>0.0</v>
      </c>
      <c r="AI117" s="58">
        <v>0.0</v>
      </c>
      <c r="AJ117" s="58">
        <v>0.0</v>
      </c>
      <c r="AK117" s="58">
        <v>0.0</v>
      </c>
      <c r="AL117" s="58">
        <v>0.0</v>
      </c>
      <c r="AM117" s="58">
        <v>1.0</v>
      </c>
      <c r="AN117" s="58">
        <v>2.0</v>
      </c>
      <c r="AO117" s="45">
        <v>0.0</v>
      </c>
      <c r="AP117" s="45">
        <v>0.0</v>
      </c>
      <c r="AQ117" s="45">
        <v>0.0</v>
      </c>
      <c r="AR117" s="45">
        <v>0.0</v>
      </c>
      <c r="AS117" s="45">
        <v>0.0</v>
      </c>
      <c r="AT117" s="45">
        <v>0.0</v>
      </c>
      <c r="AU117" s="45">
        <v>0.0</v>
      </c>
      <c r="AV117" s="45">
        <v>0.0</v>
      </c>
      <c r="AW117" s="45">
        <v>0.0</v>
      </c>
      <c r="AX117" s="45">
        <v>0.0</v>
      </c>
      <c r="AY117" s="45">
        <v>0.0</v>
      </c>
      <c r="AZ117" s="45">
        <v>0.0</v>
      </c>
      <c r="BA117" s="45">
        <v>0.0</v>
      </c>
      <c r="BB117" s="45">
        <v>0.0</v>
      </c>
      <c r="BC117" s="45">
        <v>0.0</v>
      </c>
      <c r="BD117" s="45">
        <v>0.0</v>
      </c>
      <c r="BE117" s="45">
        <v>0.0</v>
      </c>
      <c r="BF117" s="45">
        <v>0.0</v>
      </c>
      <c r="BG117" s="45">
        <v>0.0</v>
      </c>
      <c r="BH117" s="45">
        <v>0.0</v>
      </c>
      <c r="BI117" s="45">
        <v>0.0</v>
      </c>
      <c r="BJ117" s="46">
        <v>0.0</v>
      </c>
    </row>
    <row r="118" ht="15.75" customHeight="1">
      <c r="A118" s="81" t="s">
        <v>60</v>
      </c>
      <c r="B118" s="54">
        <v>0.0</v>
      </c>
      <c r="C118" s="54">
        <v>0.0</v>
      </c>
      <c r="D118" s="54">
        <v>0.0</v>
      </c>
      <c r="E118" s="54">
        <v>0.0</v>
      </c>
      <c r="F118" s="54">
        <v>0.0</v>
      </c>
      <c r="G118" s="54">
        <v>0.0</v>
      </c>
      <c r="H118" s="54">
        <v>0.0</v>
      </c>
      <c r="I118" s="54">
        <v>0.0</v>
      </c>
      <c r="J118" s="54">
        <v>0.0</v>
      </c>
      <c r="K118" s="54">
        <v>0.0</v>
      </c>
      <c r="L118" s="54">
        <v>0.0</v>
      </c>
      <c r="M118" s="54">
        <v>0.0</v>
      </c>
      <c r="N118" s="54">
        <v>0.0</v>
      </c>
      <c r="O118" s="54">
        <v>0.0</v>
      </c>
      <c r="P118" s="54">
        <v>0.0</v>
      </c>
      <c r="Q118" s="54">
        <v>0.0</v>
      </c>
      <c r="R118" s="54">
        <v>0.0</v>
      </c>
      <c r="S118" s="54">
        <v>0.0</v>
      </c>
      <c r="T118" s="54">
        <v>0.0</v>
      </c>
      <c r="U118" s="54">
        <v>0.0</v>
      </c>
      <c r="V118" s="54">
        <v>0.0</v>
      </c>
      <c r="W118" s="54">
        <v>0.0</v>
      </c>
      <c r="X118" s="54">
        <v>0.0</v>
      </c>
      <c r="Y118" s="54">
        <v>0.0</v>
      </c>
      <c r="Z118" s="54">
        <v>0.0</v>
      </c>
      <c r="AA118" s="54">
        <v>0.0</v>
      </c>
      <c r="AB118" s="54">
        <v>0.0</v>
      </c>
      <c r="AC118" s="55">
        <v>0.0</v>
      </c>
      <c r="AD118" s="54">
        <v>5.0</v>
      </c>
      <c r="AE118" s="54">
        <v>2.0</v>
      </c>
      <c r="AF118" s="7">
        <v>0.0</v>
      </c>
      <c r="AG118" s="7">
        <v>0.0</v>
      </c>
      <c r="AH118" s="7">
        <v>0.0</v>
      </c>
      <c r="AI118" s="7">
        <v>0.0</v>
      </c>
      <c r="AJ118" s="7">
        <v>0.0</v>
      </c>
      <c r="AK118" s="7">
        <v>0.0</v>
      </c>
      <c r="AL118" s="7">
        <v>0.0</v>
      </c>
      <c r="AM118" s="7">
        <v>0.0</v>
      </c>
      <c r="AN118" s="7">
        <v>0.0</v>
      </c>
      <c r="AO118" s="7">
        <v>0.0</v>
      </c>
      <c r="AP118" s="7">
        <v>0.0</v>
      </c>
      <c r="AQ118" s="7">
        <v>0.0</v>
      </c>
      <c r="AR118" s="7">
        <v>0.0</v>
      </c>
      <c r="AS118" s="7">
        <v>0.0</v>
      </c>
      <c r="AT118" s="7">
        <v>0.0</v>
      </c>
      <c r="AU118" s="7">
        <v>0.0</v>
      </c>
      <c r="AV118" s="7">
        <v>0.0</v>
      </c>
      <c r="AW118" s="7">
        <v>0.0</v>
      </c>
      <c r="AX118" s="7">
        <v>0.0</v>
      </c>
      <c r="AY118" s="7">
        <v>0.0</v>
      </c>
      <c r="AZ118" s="7">
        <v>0.0</v>
      </c>
      <c r="BA118" s="7">
        <v>0.0</v>
      </c>
      <c r="BB118" s="7">
        <v>0.0</v>
      </c>
      <c r="BC118" s="7">
        <v>0.0</v>
      </c>
      <c r="BD118" s="7">
        <v>0.0</v>
      </c>
      <c r="BE118" s="7">
        <v>0.0</v>
      </c>
      <c r="BF118" s="7">
        <v>0.0</v>
      </c>
      <c r="BG118" s="7">
        <v>0.0</v>
      </c>
      <c r="BH118" s="7">
        <v>0.0</v>
      </c>
      <c r="BI118" s="7">
        <v>0.0</v>
      </c>
      <c r="BJ118" s="8">
        <v>0.0</v>
      </c>
    </row>
    <row r="119" ht="15.75" customHeight="1">
      <c r="A119" s="82" t="s">
        <v>102</v>
      </c>
      <c r="B119" s="54">
        <v>0.0</v>
      </c>
      <c r="C119" s="54">
        <v>0.0</v>
      </c>
      <c r="D119" s="54">
        <v>0.0</v>
      </c>
      <c r="E119" s="54">
        <v>0.0</v>
      </c>
      <c r="F119" s="54">
        <v>0.0</v>
      </c>
      <c r="G119" s="54">
        <v>0.0</v>
      </c>
      <c r="H119" s="54">
        <v>0.0</v>
      </c>
      <c r="I119" s="54">
        <v>0.0</v>
      </c>
      <c r="J119" s="54">
        <v>0.0</v>
      </c>
      <c r="K119" s="54">
        <v>0.0</v>
      </c>
      <c r="L119" s="54">
        <v>0.0</v>
      </c>
      <c r="M119" s="54">
        <v>0.0</v>
      </c>
      <c r="N119" s="54">
        <v>0.0</v>
      </c>
      <c r="O119" s="54">
        <v>0.0</v>
      </c>
      <c r="P119" s="54">
        <v>0.0</v>
      </c>
      <c r="Q119" s="54">
        <v>0.0</v>
      </c>
      <c r="R119" s="54">
        <v>0.0</v>
      </c>
      <c r="S119" s="54">
        <v>0.0</v>
      </c>
      <c r="T119" s="54">
        <v>0.0</v>
      </c>
      <c r="U119" s="54">
        <v>0.0</v>
      </c>
      <c r="V119" s="54">
        <v>0.0</v>
      </c>
      <c r="W119" s="54">
        <v>0.0</v>
      </c>
      <c r="X119" s="54">
        <v>0.0</v>
      </c>
      <c r="Y119" s="54">
        <v>0.0</v>
      </c>
      <c r="Z119" s="54">
        <v>0.0</v>
      </c>
      <c r="AA119" s="54">
        <v>0.0</v>
      </c>
      <c r="AB119" s="54">
        <v>0.0</v>
      </c>
      <c r="AC119" s="55">
        <v>0.0</v>
      </c>
      <c r="AD119" s="54">
        <v>1.0</v>
      </c>
      <c r="AE119" s="54">
        <v>0.0</v>
      </c>
      <c r="AF119" s="54">
        <v>0.0</v>
      </c>
      <c r="AG119" s="54">
        <v>2.0</v>
      </c>
      <c r="AH119" s="54">
        <v>1.0</v>
      </c>
      <c r="AI119" s="7">
        <v>0.0</v>
      </c>
      <c r="AJ119" s="7">
        <v>0.0</v>
      </c>
      <c r="AK119" s="7">
        <v>0.0</v>
      </c>
      <c r="AL119" s="7">
        <v>0.0</v>
      </c>
      <c r="AM119" s="7">
        <v>0.0</v>
      </c>
      <c r="AN119" s="7">
        <v>0.0</v>
      </c>
      <c r="AO119" s="7">
        <v>0.0</v>
      </c>
      <c r="AP119" s="7">
        <v>0.0</v>
      </c>
      <c r="AQ119" s="7">
        <v>0.0</v>
      </c>
      <c r="AR119" s="7">
        <v>0.0</v>
      </c>
      <c r="AS119" s="7">
        <v>0.0</v>
      </c>
      <c r="AT119" s="7">
        <v>0.0</v>
      </c>
      <c r="AU119" s="7">
        <v>0.0</v>
      </c>
      <c r="AV119" s="7">
        <v>0.0</v>
      </c>
      <c r="AW119" s="7">
        <v>0.0</v>
      </c>
      <c r="AX119" s="7">
        <v>0.0</v>
      </c>
      <c r="AY119" s="7">
        <v>0.0</v>
      </c>
      <c r="AZ119" s="7">
        <v>0.0</v>
      </c>
      <c r="BA119" s="7">
        <v>0.0</v>
      </c>
      <c r="BB119" s="7">
        <v>0.0</v>
      </c>
      <c r="BC119" s="7">
        <v>0.0</v>
      </c>
      <c r="BD119" s="7">
        <v>0.0</v>
      </c>
      <c r="BE119" s="7">
        <v>0.0</v>
      </c>
      <c r="BF119" s="7">
        <v>0.0</v>
      </c>
      <c r="BG119" s="7">
        <v>0.0</v>
      </c>
      <c r="BH119" s="7">
        <v>0.0</v>
      </c>
      <c r="BI119" s="7">
        <v>0.0</v>
      </c>
      <c r="BJ119" s="8">
        <v>0.0</v>
      </c>
    </row>
    <row r="120" ht="15.75" customHeight="1">
      <c r="A120" s="82" t="s">
        <v>103</v>
      </c>
      <c r="B120" s="54">
        <v>0.0</v>
      </c>
      <c r="C120" s="54">
        <v>0.0</v>
      </c>
      <c r="D120" s="54">
        <v>0.0</v>
      </c>
      <c r="E120" s="54">
        <v>0.0</v>
      </c>
      <c r="F120" s="54">
        <v>0.0</v>
      </c>
      <c r="G120" s="54">
        <v>0.0</v>
      </c>
      <c r="H120" s="54">
        <v>0.0</v>
      </c>
      <c r="I120" s="54">
        <v>0.0</v>
      </c>
      <c r="J120" s="54">
        <v>0.0</v>
      </c>
      <c r="K120" s="54">
        <v>0.0</v>
      </c>
      <c r="L120" s="54">
        <v>0.0</v>
      </c>
      <c r="M120" s="54">
        <v>0.0</v>
      </c>
      <c r="N120" s="54">
        <v>0.0</v>
      </c>
      <c r="O120" s="54">
        <v>0.0</v>
      </c>
      <c r="P120" s="54">
        <v>0.0</v>
      </c>
      <c r="Q120" s="54">
        <v>0.0</v>
      </c>
      <c r="R120" s="54">
        <v>0.0</v>
      </c>
      <c r="S120" s="54">
        <v>0.0</v>
      </c>
      <c r="T120" s="54">
        <v>0.0</v>
      </c>
      <c r="U120" s="54">
        <v>0.0</v>
      </c>
      <c r="V120" s="54">
        <v>0.0</v>
      </c>
      <c r="W120" s="54">
        <v>0.0</v>
      </c>
      <c r="X120" s="54">
        <v>0.0</v>
      </c>
      <c r="Y120" s="54">
        <v>0.0</v>
      </c>
      <c r="Z120" s="54">
        <v>0.0</v>
      </c>
      <c r="AA120" s="54">
        <v>0.0</v>
      </c>
      <c r="AB120" s="54">
        <v>0.0</v>
      </c>
      <c r="AC120" s="55">
        <v>0.0</v>
      </c>
      <c r="AD120" s="54">
        <v>0.0</v>
      </c>
      <c r="AE120" s="54">
        <v>0.0</v>
      </c>
      <c r="AF120" s="54">
        <v>0.0</v>
      </c>
      <c r="AG120" s="54">
        <v>0.0</v>
      </c>
      <c r="AH120" s="54">
        <v>0.0</v>
      </c>
      <c r="AI120" s="54">
        <v>0.0</v>
      </c>
      <c r="AJ120" s="54">
        <v>3.0</v>
      </c>
      <c r="AK120" s="54">
        <v>2.0</v>
      </c>
      <c r="AL120" s="7">
        <v>0.0</v>
      </c>
      <c r="AM120" s="7">
        <v>0.0</v>
      </c>
      <c r="AN120" s="7">
        <v>0.0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  <c r="AV120" s="7">
        <v>0.0</v>
      </c>
      <c r="AW120" s="7">
        <v>0.0</v>
      </c>
      <c r="AX120" s="7">
        <v>0.0</v>
      </c>
      <c r="AY120" s="7">
        <v>0.0</v>
      </c>
      <c r="AZ120" s="7">
        <v>0.0</v>
      </c>
      <c r="BA120" s="7">
        <v>0.0</v>
      </c>
      <c r="BB120" s="7">
        <v>0.0</v>
      </c>
      <c r="BC120" s="7">
        <v>0.0</v>
      </c>
      <c r="BD120" s="7">
        <v>0.0</v>
      </c>
      <c r="BE120" s="7">
        <v>0.0</v>
      </c>
      <c r="BF120" s="7">
        <v>0.0</v>
      </c>
      <c r="BG120" s="7">
        <v>0.0</v>
      </c>
      <c r="BH120" s="7">
        <v>0.0</v>
      </c>
      <c r="BI120" s="7">
        <v>0.0</v>
      </c>
      <c r="BJ120" s="8">
        <v>0.0</v>
      </c>
    </row>
    <row r="121" ht="15.75" customHeight="1">
      <c r="A121" s="82" t="s">
        <v>104</v>
      </c>
      <c r="B121" s="54">
        <v>0.0</v>
      </c>
      <c r="C121" s="54">
        <v>0.0</v>
      </c>
      <c r="D121" s="54">
        <v>0.0</v>
      </c>
      <c r="E121" s="54">
        <v>0.0</v>
      </c>
      <c r="F121" s="54">
        <v>0.0</v>
      </c>
      <c r="G121" s="54">
        <v>0.0</v>
      </c>
      <c r="H121" s="54">
        <v>0.0</v>
      </c>
      <c r="I121" s="54">
        <v>0.0</v>
      </c>
      <c r="J121" s="54">
        <v>0.0</v>
      </c>
      <c r="K121" s="54">
        <v>0.0</v>
      </c>
      <c r="L121" s="54">
        <v>0.0</v>
      </c>
      <c r="M121" s="54">
        <v>0.0</v>
      </c>
      <c r="N121" s="54">
        <v>0.0</v>
      </c>
      <c r="O121" s="54">
        <v>0.0</v>
      </c>
      <c r="P121" s="54">
        <v>0.0</v>
      </c>
      <c r="Q121" s="54">
        <v>0.0</v>
      </c>
      <c r="R121" s="54">
        <v>0.0</v>
      </c>
      <c r="S121" s="54">
        <v>0.0</v>
      </c>
      <c r="T121" s="54">
        <v>0.0</v>
      </c>
      <c r="U121" s="54">
        <v>0.0</v>
      </c>
      <c r="V121" s="54">
        <v>0.0</v>
      </c>
      <c r="W121" s="54">
        <v>0.0</v>
      </c>
      <c r="X121" s="54">
        <v>0.0</v>
      </c>
      <c r="Y121" s="54">
        <v>0.0</v>
      </c>
      <c r="Z121" s="54">
        <v>0.0</v>
      </c>
      <c r="AA121" s="54">
        <v>0.0</v>
      </c>
      <c r="AB121" s="54">
        <v>0.0</v>
      </c>
      <c r="AC121" s="55">
        <v>0.0</v>
      </c>
      <c r="AD121" s="54">
        <v>0.0</v>
      </c>
      <c r="AE121" s="54">
        <v>0.0</v>
      </c>
      <c r="AF121" s="54">
        <v>0.0</v>
      </c>
      <c r="AG121" s="54">
        <v>0.0</v>
      </c>
      <c r="AH121" s="54">
        <v>0.0</v>
      </c>
      <c r="AI121" s="54">
        <v>0.0</v>
      </c>
      <c r="AJ121" s="54">
        <v>0.0</v>
      </c>
      <c r="AK121" s="54">
        <v>0.0</v>
      </c>
      <c r="AL121" s="54">
        <v>1.0</v>
      </c>
      <c r="AM121" s="7">
        <v>0.0</v>
      </c>
      <c r="AN121" s="7">
        <v>0.0</v>
      </c>
      <c r="AO121" s="7">
        <v>0.0</v>
      </c>
      <c r="AP121" s="7">
        <v>0.0</v>
      </c>
      <c r="AQ121" s="7">
        <v>0.0</v>
      </c>
      <c r="AR121" s="7">
        <v>0.0</v>
      </c>
      <c r="AS121" s="7">
        <v>0.0</v>
      </c>
      <c r="AT121" s="7">
        <v>0.0</v>
      </c>
      <c r="AU121" s="7">
        <v>0.0</v>
      </c>
      <c r="AV121" s="7">
        <v>0.0</v>
      </c>
      <c r="AW121" s="7">
        <v>0.0</v>
      </c>
      <c r="AX121" s="7">
        <v>0.0</v>
      </c>
      <c r="AY121" s="7">
        <v>0.0</v>
      </c>
      <c r="AZ121" s="7">
        <v>0.0</v>
      </c>
      <c r="BA121" s="7">
        <v>0.0</v>
      </c>
      <c r="BB121" s="7">
        <v>0.0</v>
      </c>
      <c r="BC121" s="7">
        <v>0.0</v>
      </c>
      <c r="BD121" s="7">
        <v>0.0</v>
      </c>
      <c r="BE121" s="7">
        <v>0.0</v>
      </c>
      <c r="BF121" s="7">
        <v>0.0</v>
      </c>
      <c r="BG121" s="7">
        <v>0.0</v>
      </c>
      <c r="BH121" s="7">
        <v>0.0</v>
      </c>
      <c r="BI121" s="7">
        <v>0.0</v>
      </c>
      <c r="BJ121" s="8">
        <v>0.0</v>
      </c>
    </row>
    <row r="122" ht="15.75" customHeight="1">
      <c r="A122" s="82" t="s">
        <v>105</v>
      </c>
      <c r="B122" s="54">
        <v>0.0</v>
      </c>
      <c r="C122" s="54">
        <v>0.0</v>
      </c>
      <c r="D122" s="54">
        <v>0.0</v>
      </c>
      <c r="E122" s="54">
        <v>0.0</v>
      </c>
      <c r="F122" s="54">
        <v>0.0</v>
      </c>
      <c r="G122" s="54">
        <v>0.0</v>
      </c>
      <c r="H122" s="54">
        <v>0.0</v>
      </c>
      <c r="I122" s="54">
        <v>0.0</v>
      </c>
      <c r="J122" s="54">
        <v>0.0</v>
      </c>
      <c r="K122" s="54">
        <v>0.0</v>
      </c>
      <c r="L122" s="54">
        <v>0.0</v>
      </c>
      <c r="M122" s="54">
        <v>0.0</v>
      </c>
      <c r="N122" s="54">
        <v>0.0</v>
      </c>
      <c r="O122" s="54">
        <v>0.0</v>
      </c>
      <c r="P122" s="54">
        <v>0.0</v>
      </c>
      <c r="Q122" s="54">
        <v>0.0</v>
      </c>
      <c r="R122" s="54">
        <v>0.0</v>
      </c>
      <c r="S122" s="54">
        <v>0.0</v>
      </c>
      <c r="T122" s="54">
        <v>0.0</v>
      </c>
      <c r="U122" s="54">
        <v>0.0</v>
      </c>
      <c r="V122" s="54">
        <v>0.0</v>
      </c>
      <c r="W122" s="54">
        <v>0.0</v>
      </c>
      <c r="X122" s="54">
        <v>0.0</v>
      </c>
      <c r="Y122" s="54">
        <v>0.0</v>
      </c>
      <c r="Z122" s="54">
        <v>0.0</v>
      </c>
      <c r="AA122" s="54">
        <v>0.0</v>
      </c>
      <c r="AB122" s="54">
        <v>0.0</v>
      </c>
      <c r="AC122" s="55">
        <v>0.0</v>
      </c>
      <c r="AD122" s="54">
        <v>0.0</v>
      </c>
      <c r="AE122" s="54">
        <v>0.0</v>
      </c>
      <c r="AF122" s="54">
        <v>0.0</v>
      </c>
      <c r="AG122" s="54">
        <v>0.0</v>
      </c>
      <c r="AH122" s="54">
        <v>0.0</v>
      </c>
      <c r="AI122" s="54">
        <v>0.0</v>
      </c>
      <c r="AJ122" s="54">
        <v>0.0</v>
      </c>
      <c r="AK122" s="54">
        <v>0.0</v>
      </c>
      <c r="AL122" s="54">
        <v>2.0</v>
      </c>
      <c r="AM122" s="54">
        <v>1.0</v>
      </c>
      <c r="AN122" s="7">
        <v>0.0</v>
      </c>
      <c r="AO122" s="7">
        <v>0.0</v>
      </c>
      <c r="AP122" s="7">
        <v>0.0</v>
      </c>
      <c r="AQ122" s="7">
        <v>0.0</v>
      </c>
      <c r="AR122" s="7">
        <v>0.0</v>
      </c>
      <c r="AS122" s="7">
        <v>0.0</v>
      </c>
      <c r="AT122" s="7">
        <v>0.0</v>
      </c>
      <c r="AU122" s="7">
        <v>0.0</v>
      </c>
      <c r="AV122" s="7">
        <v>0.0</v>
      </c>
      <c r="AW122" s="7">
        <v>0.0</v>
      </c>
      <c r="AX122" s="7">
        <v>0.0</v>
      </c>
      <c r="AY122" s="7">
        <v>0.0</v>
      </c>
      <c r="AZ122" s="7">
        <v>0.0</v>
      </c>
      <c r="BA122" s="7">
        <v>0.0</v>
      </c>
      <c r="BB122" s="7">
        <v>0.0</v>
      </c>
      <c r="BC122" s="7">
        <v>0.0</v>
      </c>
      <c r="BD122" s="7">
        <v>0.0</v>
      </c>
      <c r="BE122" s="7">
        <v>0.0</v>
      </c>
      <c r="BF122" s="7">
        <v>0.0</v>
      </c>
      <c r="BG122" s="7">
        <v>0.0</v>
      </c>
      <c r="BH122" s="7">
        <v>0.0</v>
      </c>
      <c r="BI122" s="7">
        <v>0.0</v>
      </c>
      <c r="BJ122" s="8">
        <v>0.0</v>
      </c>
    </row>
    <row r="123" ht="15.75" customHeight="1">
      <c r="A123" s="83" t="s">
        <v>106</v>
      </c>
      <c r="B123" s="58">
        <v>0.0</v>
      </c>
      <c r="C123" s="58">
        <v>0.0</v>
      </c>
      <c r="D123" s="58">
        <v>0.0</v>
      </c>
      <c r="E123" s="58">
        <v>0.0</v>
      </c>
      <c r="F123" s="58">
        <v>0.0</v>
      </c>
      <c r="G123" s="58">
        <v>0.0</v>
      </c>
      <c r="H123" s="58">
        <v>0.0</v>
      </c>
      <c r="I123" s="58">
        <v>0.0</v>
      </c>
      <c r="J123" s="58">
        <v>0.0</v>
      </c>
      <c r="K123" s="58">
        <v>0.0</v>
      </c>
      <c r="L123" s="58">
        <v>0.0</v>
      </c>
      <c r="M123" s="58">
        <v>0.0</v>
      </c>
      <c r="N123" s="58">
        <v>0.0</v>
      </c>
      <c r="O123" s="58">
        <v>0.0</v>
      </c>
      <c r="P123" s="58">
        <v>0.0</v>
      </c>
      <c r="Q123" s="58">
        <v>0.0</v>
      </c>
      <c r="R123" s="58">
        <v>0.0</v>
      </c>
      <c r="S123" s="58">
        <v>0.0</v>
      </c>
      <c r="T123" s="58">
        <v>0.0</v>
      </c>
      <c r="U123" s="58">
        <v>0.0</v>
      </c>
      <c r="V123" s="58">
        <v>0.0</v>
      </c>
      <c r="W123" s="58">
        <v>0.0</v>
      </c>
      <c r="X123" s="58">
        <v>0.0</v>
      </c>
      <c r="Y123" s="58">
        <v>0.0</v>
      </c>
      <c r="Z123" s="58">
        <v>0.0</v>
      </c>
      <c r="AA123" s="58">
        <v>0.0</v>
      </c>
      <c r="AB123" s="58">
        <v>0.0</v>
      </c>
      <c r="AC123" s="59">
        <v>0.0</v>
      </c>
      <c r="AD123" s="58">
        <v>0.0</v>
      </c>
      <c r="AE123" s="58">
        <v>0.0</v>
      </c>
      <c r="AF123" s="58">
        <v>0.0</v>
      </c>
      <c r="AG123" s="58">
        <v>0.0</v>
      </c>
      <c r="AH123" s="58">
        <v>0.0</v>
      </c>
      <c r="AI123" s="58">
        <v>0.0</v>
      </c>
      <c r="AJ123" s="58">
        <v>0.0</v>
      </c>
      <c r="AK123" s="58">
        <v>0.0</v>
      </c>
      <c r="AL123" s="58">
        <v>0.0</v>
      </c>
      <c r="AM123" s="58">
        <v>2.0</v>
      </c>
      <c r="AN123" s="58">
        <v>2.0</v>
      </c>
      <c r="AO123" s="45">
        <v>0.0</v>
      </c>
      <c r="AP123" s="45">
        <v>0.0</v>
      </c>
      <c r="AQ123" s="45">
        <v>0.0</v>
      </c>
      <c r="AR123" s="45">
        <v>0.0</v>
      </c>
      <c r="AS123" s="45">
        <v>0.0</v>
      </c>
      <c r="AT123" s="45">
        <v>0.0</v>
      </c>
      <c r="AU123" s="45">
        <v>0.0</v>
      </c>
      <c r="AV123" s="45">
        <v>0.0</v>
      </c>
      <c r="AW123" s="45">
        <v>0.0</v>
      </c>
      <c r="AX123" s="45">
        <v>0.0</v>
      </c>
      <c r="AY123" s="45">
        <v>0.0</v>
      </c>
      <c r="AZ123" s="45">
        <v>0.0</v>
      </c>
      <c r="BA123" s="45">
        <v>0.0</v>
      </c>
      <c r="BB123" s="45">
        <v>0.0</v>
      </c>
      <c r="BC123" s="45">
        <v>0.0</v>
      </c>
      <c r="BD123" s="45">
        <v>0.0</v>
      </c>
      <c r="BE123" s="45">
        <v>0.0</v>
      </c>
      <c r="BF123" s="45">
        <v>0.0</v>
      </c>
      <c r="BG123" s="45">
        <v>0.0</v>
      </c>
      <c r="BH123" s="45">
        <v>0.0</v>
      </c>
      <c r="BI123" s="45">
        <v>0.0</v>
      </c>
      <c r="BJ123" s="46">
        <v>0.0</v>
      </c>
    </row>
    <row r="124" ht="15.75" customHeight="1">
      <c r="A124" s="69" t="s">
        <v>60</v>
      </c>
      <c r="B124" s="54">
        <v>0.0</v>
      </c>
      <c r="C124" s="54">
        <v>0.0</v>
      </c>
      <c r="D124" s="54">
        <v>0.0</v>
      </c>
      <c r="E124" s="54">
        <v>0.0</v>
      </c>
      <c r="F124" s="54">
        <v>0.0</v>
      </c>
      <c r="G124" s="54">
        <v>0.0</v>
      </c>
      <c r="H124" s="54">
        <v>0.0</v>
      </c>
      <c r="I124" s="54">
        <v>0.0</v>
      </c>
      <c r="J124" s="54">
        <v>0.0</v>
      </c>
      <c r="K124" s="54">
        <v>0.0</v>
      </c>
      <c r="L124" s="54">
        <v>0.0</v>
      </c>
      <c r="M124" s="54">
        <v>0.0</v>
      </c>
      <c r="N124" s="54">
        <v>0.0</v>
      </c>
      <c r="O124" s="54">
        <v>0.0</v>
      </c>
      <c r="P124" s="54">
        <v>0.0</v>
      </c>
      <c r="Q124" s="54">
        <v>0.0</v>
      </c>
      <c r="R124" s="54">
        <v>0.0</v>
      </c>
      <c r="S124" s="54">
        <v>0.0</v>
      </c>
      <c r="T124" s="54">
        <v>0.0</v>
      </c>
      <c r="U124" s="54">
        <v>0.0</v>
      </c>
      <c r="V124" s="54">
        <v>0.0</v>
      </c>
      <c r="W124" s="54">
        <v>0.0</v>
      </c>
      <c r="X124" s="54">
        <v>0.0</v>
      </c>
      <c r="Y124" s="54">
        <v>0.0</v>
      </c>
      <c r="Z124" s="54">
        <v>0.0</v>
      </c>
      <c r="AA124" s="54">
        <v>0.0</v>
      </c>
      <c r="AB124" s="54">
        <v>0.0</v>
      </c>
      <c r="AC124" s="55">
        <v>0.0</v>
      </c>
      <c r="AD124" s="54">
        <v>0.0</v>
      </c>
      <c r="AE124" s="54">
        <v>0.0</v>
      </c>
      <c r="AF124" s="54">
        <v>2.0</v>
      </c>
      <c r="AG124" s="54">
        <v>1.0</v>
      </c>
      <c r="AH124" s="54">
        <v>3.0</v>
      </c>
      <c r="AI124" s="7">
        <v>0.0</v>
      </c>
      <c r="AJ124" s="7">
        <v>0.0</v>
      </c>
      <c r="AK124" s="7">
        <v>0.0</v>
      </c>
      <c r="AL124" s="7">
        <v>0.0</v>
      </c>
      <c r="AM124" s="7">
        <v>0.0</v>
      </c>
      <c r="AN124" s="7">
        <v>0.0</v>
      </c>
      <c r="AO124" s="7">
        <v>0.0</v>
      </c>
      <c r="AP124" s="7">
        <v>0.0</v>
      </c>
      <c r="AQ124" s="7">
        <v>0.0</v>
      </c>
      <c r="AR124" s="7">
        <v>0.0</v>
      </c>
      <c r="AS124" s="7">
        <v>0.0</v>
      </c>
      <c r="AT124" s="7">
        <v>0.0</v>
      </c>
      <c r="AU124" s="7">
        <v>0.0</v>
      </c>
      <c r="AV124" s="7">
        <v>0.0</v>
      </c>
      <c r="AW124" s="7">
        <v>0.0</v>
      </c>
      <c r="AX124" s="7">
        <v>0.0</v>
      </c>
      <c r="AY124" s="7">
        <v>0.0</v>
      </c>
      <c r="AZ124" s="7">
        <v>0.0</v>
      </c>
      <c r="BA124" s="7">
        <v>0.0</v>
      </c>
      <c r="BB124" s="7">
        <v>0.0</v>
      </c>
      <c r="BC124" s="7">
        <v>0.0</v>
      </c>
      <c r="BD124" s="7">
        <v>0.0</v>
      </c>
      <c r="BE124" s="7">
        <v>0.0</v>
      </c>
      <c r="BF124" s="7">
        <v>0.0</v>
      </c>
      <c r="BG124" s="7">
        <v>0.0</v>
      </c>
      <c r="BH124" s="7">
        <v>0.0</v>
      </c>
      <c r="BI124" s="7">
        <v>0.0</v>
      </c>
      <c r="BJ124" s="8">
        <v>0.0</v>
      </c>
    </row>
    <row r="125" ht="15.75" customHeight="1">
      <c r="A125" s="70" t="s">
        <v>107</v>
      </c>
      <c r="B125" s="54">
        <v>0.0</v>
      </c>
      <c r="C125" s="54">
        <v>0.0</v>
      </c>
      <c r="D125" s="54">
        <v>0.0</v>
      </c>
      <c r="E125" s="54">
        <v>0.0</v>
      </c>
      <c r="F125" s="54">
        <v>0.0</v>
      </c>
      <c r="G125" s="54">
        <v>0.0</v>
      </c>
      <c r="H125" s="54">
        <v>0.0</v>
      </c>
      <c r="I125" s="54">
        <v>0.0</v>
      </c>
      <c r="J125" s="54">
        <v>0.0</v>
      </c>
      <c r="K125" s="54">
        <v>0.0</v>
      </c>
      <c r="L125" s="54">
        <v>0.0</v>
      </c>
      <c r="M125" s="54">
        <v>0.0</v>
      </c>
      <c r="N125" s="54">
        <v>0.0</v>
      </c>
      <c r="O125" s="54">
        <v>0.0</v>
      </c>
      <c r="P125" s="54">
        <v>0.0</v>
      </c>
      <c r="Q125" s="54">
        <v>0.0</v>
      </c>
      <c r="R125" s="54">
        <v>0.0</v>
      </c>
      <c r="S125" s="54">
        <v>0.0</v>
      </c>
      <c r="T125" s="54">
        <v>0.0</v>
      </c>
      <c r="U125" s="54">
        <v>0.0</v>
      </c>
      <c r="V125" s="54">
        <v>0.0</v>
      </c>
      <c r="W125" s="54">
        <v>0.0</v>
      </c>
      <c r="X125" s="54">
        <v>0.0</v>
      </c>
      <c r="Y125" s="54">
        <v>0.0</v>
      </c>
      <c r="Z125" s="54">
        <v>0.0</v>
      </c>
      <c r="AA125" s="54">
        <v>0.0</v>
      </c>
      <c r="AB125" s="54">
        <v>0.0</v>
      </c>
      <c r="AC125" s="55">
        <v>0.0</v>
      </c>
      <c r="AD125" s="54">
        <v>0.0</v>
      </c>
      <c r="AE125" s="54">
        <v>0.0</v>
      </c>
      <c r="AF125" s="54">
        <v>0.0</v>
      </c>
      <c r="AG125" s="54">
        <v>0.0</v>
      </c>
      <c r="AH125" s="54">
        <v>0.0</v>
      </c>
      <c r="AI125" s="54">
        <v>0.0</v>
      </c>
      <c r="AJ125" s="54">
        <v>0.0</v>
      </c>
      <c r="AK125" s="54">
        <v>0.0</v>
      </c>
      <c r="AL125" s="54">
        <v>0.0</v>
      </c>
      <c r="AM125" s="54">
        <v>0.0</v>
      </c>
      <c r="AN125" s="54">
        <v>0.0</v>
      </c>
      <c r="AO125" s="54">
        <v>1.0</v>
      </c>
      <c r="AP125" s="54">
        <v>1.0</v>
      </c>
      <c r="AQ125" s="54">
        <v>0.0</v>
      </c>
      <c r="AR125" s="54">
        <v>3.0</v>
      </c>
      <c r="AS125" s="7">
        <v>0.0</v>
      </c>
      <c r="AT125" s="7">
        <v>0.0</v>
      </c>
      <c r="AU125" s="7">
        <v>0.0</v>
      </c>
      <c r="AV125" s="7">
        <v>0.0</v>
      </c>
      <c r="AW125" s="7">
        <v>0.0</v>
      </c>
      <c r="AX125" s="7">
        <v>0.0</v>
      </c>
      <c r="AY125" s="7">
        <v>0.0</v>
      </c>
      <c r="AZ125" s="7">
        <v>0.0</v>
      </c>
      <c r="BA125" s="7">
        <v>0.0</v>
      </c>
      <c r="BB125" s="7">
        <v>0.0</v>
      </c>
      <c r="BC125" s="7">
        <v>0.0</v>
      </c>
      <c r="BD125" s="7">
        <v>0.0</v>
      </c>
      <c r="BE125" s="7">
        <v>0.0</v>
      </c>
      <c r="BF125" s="7">
        <v>0.0</v>
      </c>
      <c r="BG125" s="7">
        <v>0.0</v>
      </c>
      <c r="BH125" s="7">
        <v>0.0</v>
      </c>
      <c r="BI125" s="7">
        <v>0.0</v>
      </c>
      <c r="BJ125" s="8">
        <v>0.0</v>
      </c>
    </row>
    <row r="126" ht="15.75" customHeight="1">
      <c r="A126" s="70" t="s">
        <v>108</v>
      </c>
      <c r="B126" s="54">
        <v>0.0</v>
      </c>
      <c r="C126" s="54">
        <v>0.0</v>
      </c>
      <c r="D126" s="54">
        <v>0.0</v>
      </c>
      <c r="E126" s="54">
        <v>0.0</v>
      </c>
      <c r="F126" s="54">
        <v>0.0</v>
      </c>
      <c r="G126" s="54">
        <v>0.0</v>
      </c>
      <c r="H126" s="54">
        <v>0.0</v>
      </c>
      <c r="I126" s="54">
        <v>0.0</v>
      </c>
      <c r="J126" s="54">
        <v>0.0</v>
      </c>
      <c r="K126" s="54">
        <v>0.0</v>
      </c>
      <c r="L126" s="54">
        <v>0.0</v>
      </c>
      <c r="M126" s="54">
        <v>0.0</v>
      </c>
      <c r="N126" s="54">
        <v>0.0</v>
      </c>
      <c r="O126" s="54">
        <v>0.0</v>
      </c>
      <c r="P126" s="54">
        <v>0.0</v>
      </c>
      <c r="Q126" s="54">
        <v>0.0</v>
      </c>
      <c r="R126" s="54">
        <v>0.0</v>
      </c>
      <c r="S126" s="54">
        <v>0.0</v>
      </c>
      <c r="T126" s="54">
        <v>0.0</v>
      </c>
      <c r="U126" s="54">
        <v>0.0</v>
      </c>
      <c r="V126" s="54">
        <v>0.0</v>
      </c>
      <c r="W126" s="54">
        <v>0.0</v>
      </c>
      <c r="X126" s="54">
        <v>0.0</v>
      </c>
      <c r="Y126" s="54">
        <v>0.0</v>
      </c>
      <c r="Z126" s="54">
        <v>0.0</v>
      </c>
      <c r="AA126" s="54">
        <v>0.0</v>
      </c>
      <c r="AB126" s="54">
        <v>0.0</v>
      </c>
      <c r="AC126" s="55">
        <v>0.0</v>
      </c>
      <c r="AD126" s="54">
        <v>0.0</v>
      </c>
      <c r="AE126" s="54">
        <v>0.0</v>
      </c>
      <c r="AF126" s="54">
        <v>0.0</v>
      </c>
      <c r="AG126" s="54">
        <v>0.0</v>
      </c>
      <c r="AH126" s="54">
        <v>0.0</v>
      </c>
      <c r="AI126" s="54">
        <v>0.0</v>
      </c>
      <c r="AJ126" s="54">
        <v>0.0</v>
      </c>
      <c r="AK126" s="54">
        <v>0.0</v>
      </c>
      <c r="AL126" s="54">
        <v>0.0</v>
      </c>
      <c r="AM126" s="54">
        <v>0.0</v>
      </c>
      <c r="AN126" s="54">
        <v>0.0</v>
      </c>
      <c r="AO126" s="54">
        <v>0.0</v>
      </c>
      <c r="AP126" s="54">
        <v>4.0</v>
      </c>
      <c r="AQ126" s="54">
        <v>1.0</v>
      </c>
      <c r="AR126" s="54">
        <v>1.0</v>
      </c>
      <c r="AS126" s="54">
        <v>3.0</v>
      </c>
      <c r="AT126" s="7">
        <v>0.0</v>
      </c>
      <c r="AU126" s="7">
        <v>0.0</v>
      </c>
      <c r="AV126" s="7">
        <v>0.0</v>
      </c>
      <c r="AW126" s="7">
        <v>0.0</v>
      </c>
      <c r="AX126" s="7">
        <v>0.0</v>
      </c>
      <c r="AY126" s="7">
        <v>0.0</v>
      </c>
      <c r="AZ126" s="7">
        <v>0.0</v>
      </c>
      <c r="BA126" s="7">
        <v>0.0</v>
      </c>
      <c r="BB126" s="7">
        <v>0.0</v>
      </c>
      <c r="BC126" s="7">
        <v>0.0</v>
      </c>
      <c r="BD126" s="7">
        <v>0.0</v>
      </c>
      <c r="BE126" s="7">
        <v>0.0</v>
      </c>
      <c r="BF126" s="7">
        <v>0.0</v>
      </c>
      <c r="BG126" s="7">
        <v>0.0</v>
      </c>
      <c r="BH126" s="7">
        <v>0.0</v>
      </c>
      <c r="BI126" s="7">
        <v>0.0</v>
      </c>
      <c r="BJ126" s="8">
        <v>0.0</v>
      </c>
    </row>
    <row r="127" ht="15.75" customHeight="1">
      <c r="A127" s="70" t="s">
        <v>109</v>
      </c>
      <c r="B127" s="54">
        <v>0.0</v>
      </c>
      <c r="C127" s="54">
        <v>0.0</v>
      </c>
      <c r="D127" s="54">
        <v>0.0</v>
      </c>
      <c r="E127" s="54">
        <v>0.0</v>
      </c>
      <c r="F127" s="54">
        <v>0.0</v>
      </c>
      <c r="G127" s="54">
        <v>0.0</v>
      </c>
      <c r="H127" s="54">
        <v>0.0</v>
      </c>
      <c r="I127" s="54">
        <v>0.0</v>
      </c>
      <c r="J127" s="54">
        <v>0.0</v>
      </c>
      <c r="K127" s="54">
        <v>0.0</v>
      </c>
      <c r="L127" s="54">
        <v>0.0</v>
      </c>
      <c r="M127" s="54">
        <v>0.0</v>
      </c>
      <c r="N127" s="54">
        <v>0.0</v>
      </c>
      <c r="O127" s="54">
        <v>0.0</v>
      </c>
      <c r="P127" s="54">
        <v>0.0</v>
      </c>
      <c r="Q127" s="54">
        <v>0.0</v>
      </c>
      <c r="R127" s="54">
        <v>0.0</v>
      </c>
      <c r="S127" s="54">
        <v>0.0</v>
      </c>
      <c r="T127" s="54">
        <v>0.0</v>
      </c>
      <c r="U127" s="54">
        <v>0.0</v>
      </c>
      <c r="V127" s="54">
        <v>0.0</v>
      </c>
      <c r="W127" s="54">
        <v>0.0</v>
      </c>
      <c r="X127" s="54">
        <v>0.0</v>
      </c>
      <c r="Y127" s="54">
        <v>0.0</v>
      </c>
      <c r="Z127" s="54">
        <v>0.0</v>
      </c>
      <c r="AA127" s="54">
        <v>0.0</v>
      </c>
      <c r="AB127" s="54">
        <v>0.0</v>
      </c>
      <c r="AC127" s="55">
        <v>0.0</v>
      </c>
      <c r="AD127" s="54">
        <v>0.0</v>
      </c>
      <c r="AE127" s="54">
        <v>0.0</v>
      </c>
      <c r="AF127" s="54">
        <v>0.0</v>
      </c>
      <c r="AG127" s="54">
        <v>0.0</v>
      </c>
      <c r="AH127" s="54">
        <v>0.0</v>
      </c>
      <c r="AI127" s="54">
        <v>0.0</v>
      </c>
      <c r="AJ127" s="54">
        <v>0.0</v>
      </c>
      <c r="AK127" s="54">
        <v>0.0</v>
      </c>
      <c r="AL127" s="54">
        <v>0.0</v>
      </c>
      <c r="AM127" s="54">
        <v>0.0</v>
      </c>
      <c r="AN127" s="54">
        <v>0.0</v>
      </c>
      <c r="AO127" s="54">
        <v>0.0</v>
      </c>
      <c r="AP127" s="54">
        <v>0.0</v>
      </c>
      <c r="AQ127" s="54">
        <v>3.0</v>
      </c>
      <c r="AR127" s="54">
        <v>0.0</v>
      </c>
      <c r="AS127" s="54">
        <v>0.0</v>
      </c>
      <c r="AT127" s="54">
        <v>1.0</v>
      </c>
      <c r="AU127" s="7">
        <v>0.0</v>
      </c>
      <c r="AV127" s="7">
        <v>0.0</v>
      </c>
      <c r="AW127" s="7">
        <v>0.0</v>
      </c>
      <c r="AX127" s="7">
        <v>0.0</v>
      </c>
      <c r="AY127" s="7">
        <v>0.0</v>
      </c>
      <c r="AZ127" s="7">
        <v>0.0</v>
      </c>
      <c r="BA127" s="7">
        <v>0.0</v>
      </c>
      <c r="BB127" s="7">
        <v>0.0</v>
      </c>
      <c r="BC127" s="7">
        <v>0.0</v>
      </c>
      <c r="BD127" s="7">
        <v>0.0</v>
      </c>
      <c r="BE127" s="7">
        <v>0.0</v>
      </c>
      <c r="BF127" s="7">
        <v>0.0</v>
      </c>
      <c r="BG127" s="7">
        <v>0.0</v>
      </c>
      <c r="BH127" s="7">
        <v>0.0</v>
      </c>
      <c r="BI127" s="7">
        <v>0.0</v>
      </c>
      <c r="BJ127" s="8">
        <v>0.0</v>
      </c>
    </row>
    <row r="128" ht="15.75" customHeight="1">
      <c r="A128" s="70" t="s">
        <v>110</v>
      </c>
      <c r="B128" s="54">
        <v>0.0</v>
      </c>
      <c r="C128" s="54">
        <v>0.0</v>
      </c>
      <c r="D128" s="54">
        <v>0.0</v>
      </c>
      <c r="E128" s="54">
        <v>0.0</v>
      </c>
      <c r="F128" s="54">
        <v>0.0</v>
      </c>
      <c r="G128" s="54">
        <v>0.0</v>
      </c>
      <c r="H128" s="54">
        <v>0.0</v>
      </c>
      <c r="I128" s="54">
        <v>0.0</v>
      </c>
      <c r="J128" s="54">
        <v>0.0</v>
      </c>
      <c r="K128" s="54">
        <v>0.0</v>
      </c>
      <c r="L128" s="54">
        <v>0.0</v>
      </c>
      <c r="M128" s="54">
        <v>0.0</v>
      </c>
      <c r="N128" s="54">
        <v>0.0</v>
      </c>
      <c r="O128" s="54">
        <v>0.0</v>
      </c>
      <c r="P128" s="54">
        <v>0.0</v>
      </c>
      <c r="Q128" s="54">
        <v>0.0</v>
      </c>
      <c r="R128" s="54">
        <v>0.0</v>
      </c>
      <c r="S128" s="54">
        <v>0.0</v>
      </c>
      <c r="T128" s="54">
        <v>0.0</v>
      </c>
      <c r="U128" s="54">
        <v>0.0</v>
      </c>
      <c r="V128" s="54">
        <v>0.0</v>
      </c>
      <c r="W128" s="54">
        <v>0.0</v>
      </c>
      <c r="X128" s="54">
        <v>0.0</v>
      </c>
      <c r="Y128" s="54">
        <v>0.0</v>
      </c>
      <c r="Z128" s="54">
        <v>0.0</v>
      </c>
      <c r="AA128" s="54">
        <v>0.0</v>
      </c>
      <c r="AB128" s="54">
        <v>0.0</v>
      </c>
      <c r="AC128" s="55">
        <v>0.0</v>
      </c>
      <c r="AD128" s="54">
        <v>0.0</v>
      </c>
      <c r="AE128" s="54">
        <v>0.0</v>
      </c>
      <c r="AF128" s="54">
        <v>0.0</v>
      </c>
      <c r="AG128" s="54">
        <v>0.0</v>
      </c>
      <c r="AH128" s="54">
        <v>0.0</v>
      </c>
      <c r="AI128" s="54">
        <v>0.0</v>
      </c>
      <c r="AJ128" s="54">
        <v>0.0</v>
      </c>
      <c r="AK128" s="54">
        <v>0.0</v>
      </c>
      <c r="AL128" s="54">
        <v>0.0</v>
      </c>
      <c r="AM128" s="54">
        <v>0.0</v>
      </c>
      <c r="AN128" s="54">
        <v>0.0</v>
      </c>
      <c r="AO128" s="54">
        <v>0.0</v>
      </c>
      <c r="AP128" s="54">
        <v>0.0</v>
      </c>
      <c r="AQ128" s="54">
        <v>0.0</v>
      </c>
      <c r="AR128" s="54">
        <v>0.0</v>
      </c>
      <c r="AS128" s="54">
        <v>0.0</v>
      </c>
      <c r="AT128" s="54">
        <v>1.0</v>
      </c>
      <c r="AU128" s="54">
        <v>5.0</v>
      </c>
      <c r="AV128" s="54">
        <v>2.0</v>
      </c>
      <c r="AW128" s="7">
        <v>0.0</v>
      </c>
      <c r="AX128" s="7">
        <v>0.0</v>
      </c>
      <c r="AY128" s="7">
        <v>0.0</v>
      </c>
      <c r="AZ128" s="7">
        <v>0.0</v>
      </c>
      <c r="BA128" s="7">
        <v>0.0</v>
      </c>
      <c r="BB128" s="7">
        <v>0.0</v>
      </c>
      <c r="BC128" s="7">
        <v>0.0</v>
      </c>
      <c r="BD128" s="7">
        <v>0.0</v>
      </c>
      <c r="BE128" s="7">
        <v>0.0</v>
      </c>
      <c r="BF128" s="7">
        <v>0.0</v>
      </c>
      <c r="BG128" s="7">
        <v>0.0</v>
      </c>
      <c r="BH128" s="7">
        <v>0.0</v>
      </c>
      <c r="BI128" s="7">
        <v>0.0</v>
      </c>
      <c r="BJ128" s="8">
        <v>0.0</v>
      </c>
    </row>
    <row r="129" ht="15.75" customHeight="1">
      <c r="A129" s="71" t="s">
        <v>111</v>
      </c>
      <c r="B129" s="58">
        <v>0.0</v>
      </c>
      <c r="C129" s="58">
        <v>0.0</v>
      </c>
      <c r="D129" s="58">
        <v>0.0</v>
      </c>
      <c r="E129" s="58">
        <v>0.0</v>
      </c>
      <c r="F129" s="58">
        <v>0.0</v>
      </c>
      <c r="G129" s="58">
        <v>0.0</v>
      </c>
      <c r="H129" s="58">
        <v>0.0</v>
      </c>
      <c r="I129" s="58">
        <v>0.0</v>
      </c>
      <c r="J129" s="58">
        <v>0.0</v>
      </c>
      <c r="K129" s="58">
        <v>0.0</v>
      </c>
      <c r="L129" s="58">
        <v>0.0</v>
      </c>
      <c r="M129" s="58">
        <v>0.0</v>
      </c>
      <c r="N129" s="58">
        <v>0.0</v>
      </c>
      <c r="O129" s="58">
        <v>0.0</v>
      </c>
      <c r="P129" s="58">
        <v>0.0</v>
      </c>
      <c r="Q129" s="58">
        <v>0.0</v>
      </c>
      <c r="R129" s="58">
        <v>0.0</v>
      </c>
      <c r="S129" s="58">
        <v>0.0</v>
      </c>
      <c r="T129" s="58">
        <v>0.0</v>
      </c>
      <c r="U129" s="58">
        <v>0.0</v>
      </c>
      <c r="V129" s="58">
        <v>0.0</v>
      </c>
      <c r="W129" s="58">
        <v>0.0</v>
      </c>
      <c r="X129" s="58">
        <v>0.0</v>
      </c>
      <c r="Y129" s="58">
        <v>0.0</v>
      </c>
      <c r="Z129" s="58">
        <v>0.0</v>
      </c>
      <c r="AA129" s="58">
        <v>0.0</v>
      </c>
      <c r="AB129" s="58">
        <v>0.0</v>
      </c>
      <c r="AC129" s="59">
        <v>0.0</v>
      </c>
      <c r="AD129" s="58">
        <v>0.0</v>
      </c>
      <c r="AE129" s="58">
        <v>0.0</v>
      </c>
      <c r="AF129" s="58">
        <v>0.0</v>
      </c>
      <c r="AG129" s="58">
        <v>0.0</v>
      </c>
      <c r="AH129" s="58">
        <v>0.0</v>
      </c>
      <c r="AI129" s="58">
        <v>0.0</v>
      </c>
      <c r="AJ129" s="58">
        <v>0.0</v>
      </c>
      <c r="AK129" s="58">
        <v>0.0</v>
      </c>
      <c r="AL129" s="58">
        <v>0.0</v>
      </c>
      <c r="AM129" s="58">
        <v>0.0</v>
      </c>
      <c r="AN129" s="58">
        <v>0.0</v>
      </c>
      <c r="AO129" s="58">
        <v>0.0</v>
      </c>
      <c r="AP129" s="58">
        <v>0.0</v>
      </c>
      <c r="AQ129" s="58">
        <v>0.0</v>
      </c>
      <c r="AR129" s="58">
        <v>0.0</v>
      </c>
      <c r="AS129" s="58">
        <v>0.0</v>
      </c>
      <c r="AT129" s="58">
        <v>1.0</v>
      </c>
      <c r="AU129" s="58">
        <v>1.0</v>
      </c>
      <c r="AV129" s="58">
        <v>3.0</v>
      </c>
      <c r="AW129" s="45">
        <v>0.0</v>
      </c>
      <c r="AX129" s="45">
        <v>0.0</v>
      </c>
      <c r="AY129" s="45">
        <v>0.0</v>
      </c>
      <c r="AZ129" s="45">
        <v>0.0</v>
      </c>
      <c r="BA129" s="45">
        <v>0.0</v>
      </c>
      <c r="BB129" s="45">
        <v>0.0</v>
      </c>
      <c r="BC129" s="45">
        <v>0.0</v>
      </c>
      <c r="BD129" s="45">
        <v>0.0</v>
      </c>
      <c r="BE129" s="45">
        <v>0.0</v>
      </c>
      <c r="BF129" s="45">
        <v>0.0</v>
      </c>
      <c r="BG129" s="45">
        <v>0.0</v>
      </c>
      <c r="BH129" s="45">
        <v>0.0</v>
      </c>
      <c r="BI129" s="45">
        <v>0.0</v>
      </c>
      <c r="BJ129" s="46">
        <v>0.0</v>
      </c>
    </row>
    <row r="130" ht="15.75" customHeight="1">
      <c r="A130" s="84" t="s">
        <v>60</v>
      </c>
      <c r="B130" s="54">
        <v>0.0</v>
      </c>
      <c r="C130" s="54">
        <v>0.0</v>
      </c>
      <c r="D130" s="54">
        <v>0.0</v>
      </c>
      <c r="E130" s="54">
        <v>0.0</v>
      </c>
      <c r="F130" s="54">
        <v>0.0</v>
      </c>
      <c r="G130" s="54">
        <v>0.0</v>
      </c>
      <c r="H130" s="54">
        <v>0.0</v>
      </c>
      <c r="I130" s="54">
        <v>0.0</v>
      </c>
      <c r="J130" s="54">
        <v>0.0</v>
      </c>
      <c r="K130" s="54">
        <v>0.0</v>
      </c>
      <c r="L130" s="54">
        <v>0.0</v>
      </c>
      <c r="M130" s="54">
        <v>0.0</v>
      </c>
      <c r="N130" s="54">
        <v>0.0</v>
      </c>
      <c r="O130" s="54">
        <v>0.0</v>
      </c>
      <c r="P130" s="54">
        <v>0.0</v>
      </c>
      <c r="Q130" s="54">
        <v>0.0</v>
      </c>
      <c r="R130" s="54">
        <v>0.0</v>
      </c>
      <c r="S130" s="54">
        <v>0.0</v>
      </c>
      <c r="T130" s="54">
        <v>0.0</v>
      </c>
      <c r="U130" s="54">
        <v>0.0</v>
      </c>
      <c r="V130" s="54">
        <v>0.0</v>
      </c>
      <c r="W130" s="54">
        <v>0.0</v>
      </c>
      <c r="X130" s="54">
        <v>0.0</v>
      </c>
      <c r="Y130" s="54">
        <v>0.0</v>
      </c>
      <c r="Z130" s="54">
        <v>0.0</v>
      </c>
      <c r="AA130" s="54">
        <v>0.0</v>
      </c>
      <c r="AB130" s="54">
        <v>0.0</v>
      </c>
      <c r="AC130" s="55">
        <v>0.0</v>
      </c>
      <c r="AD130" s="54">
        <v>0.0</v>
      </c>
      <c r="AE130" s="54">
        <v>0.0</v>
      </c>
      <c r="AF130" s="54">
        <v>0.0</v>
      </c>
      <c r="AG130" s="54">
        <v>0.0</v>
      </c>
      <c r="AH130" s="54">
        <v>3.0</v>
      </c>
      <c r="AI130" s="54">
        <v>4.0</v>
      </c>
      <c r="AJ130" s="7">
        <v>0.0</v>
      </c>
      <c r="AK130" s="7">
        <v>0.0</v>
      </c>
      <c r="AL130" s="7">
        <v>0.0</v>
      </c>
      <c r="AM130" s="7">
        <v>0.0</v>
      </c>
      <c r="AN130" s="7">
        <v>0.0</v>
      </c>
      <c r="AO130" s="7">
        <v>0.0</v>
      </c>
      <c r="AP130" s="7">
        <v>0.0</v>
      </c>
      <c r="AQ130" s="7">
        <v>0.0</v>
      </c>
      <c r="AR130" s="7">
        <v>0.0</v>
      </c>
      <c r="AS130" s="7">
        <v>0.0</v>
      </c>
      <c r="AT130" s="7">
        <v>0.0</v>
      </c>
      <c r="AU130" s="7">
        <v>0.0</v>
      </c>
      <c r="AV130" s="7">
        <v>0.0</v>
      </c>
      <c r="AW130" s="7">
        <v>0.0</v>
      </c>
      <c r="AX130" s="7">
        <v>0.0</v>
      </c>
      <c r="AY130" s="7">
        <v>0.0</v>
      </c>
      <c r="AZ130" s="7">
        <v>0.0</v>
      </c>
      <c r="BA130" s="7">
        <v>0.0</v>
      </c>
      <c r="BB130" s="7">
        <v>0.0</v>
      </c>
      <c r="BC130" s="7">
        <v>0.0</v>
      </c>
      <c r="BD130" s="7">
        <v>0.0</v>
      </c>
      <c r="BE130" s="7">
        <v>0.0</v>
      </c>
      <c r="BF130" s="7">
        <v>0.0</v>
      </c>
      <c r="BG130" s="7">
        <v>0.0</v>
      </c>
      <c r="BH130" s="7">
        <v>0.0</v>
      </c>
      <c r="BI130" s="7">
        <v>0.0</v>
      </c>
      <c r="BJ130" s="8">
        <v>0.0</v>
      </c>
    </row>
    <row r="131" ht="15.75" customHeight="1">
      <c r="A131" s="85" t="s">
        <v>112</v>
      </c>
      <c r="B131" s="54">
        <v>0.0</v>
      </c>
      <c r="C131" s="54">
        <v>0.0</v>
      </c>
      <c r="D131" s="54">
        <v>0.0</v>
      </c>
      <c r="E131" s="54">
        <v>0.0</v>
      </c>
      <c r="F131" s="54">
        <v>0.0</v>
      </c>
      <c r="G131" s="54">
        <v>0.0</v>
      </c>
      <c r="H131" s="54">
        <v>0.0</v>
      </c>
      <c r="I131" s="54">
        <v>0.0</v>
      </c>
      <c r="J131" s="54">
        <v>0.0</v>
      </c>
      <c r="K131" s="54">
        <v>0.0</v>
      </c>
      <c r="L131" s="54">
        <v>0.0</v>
      </c>
      <c r="M131" s="54">
        <v>0.0</v>
      </c>
      <c r="N131" s="54">
        <v>0.0</v>
      </c>
      <c r="O131" s="54">
        <v>0.0</v>
      </c>
      <c r="P131" s="54">
        <v>0.0</v>
      </c>
      <c r="Q131" s="54">
        <v>0.0</v>
      </c>
      <c r="R131" s="54">
        <v>0.0</v>
      </c>
      <c r="S131" s="54">
        <v>0.0</v>
      </c>
      <c r="T131" s="54">
        <v>0.0</v>
      </c>
      <c r="U131" s="54">
        <v>0.0</v>
      </c>
      <c r="V131" s="54">
        <v>0.0</v>
      </c>
      <c r="W131" s="54">
        <v>0.0</v>
      </c>
      <c r="X131" s="54">
        <v>0.0</v>
      </c>
      <c r="Y131" s="54">
        <v>0.0</v>
      </c>
      <c r="Z131" s="54">
        <v>0.0</v>
      </c>
      <c r="AA131" s="54">
        <v>0.0</v>
      </c>
      <c r="AB131" s="54">
        <v>0.0</v>
      </c>
      <c r="AC131" s="55">
        <v>0.0</v>
      </c>
      <c r="AD131" s="54">
        <v>0.0</v>
      </c>
      <c r="AE131" s="54">
        <v>0.0</v>
      </c>
      <c r="AF131" s="54">
        <v>0.0</v>
      </c>
      <c r="AG131" s="54">
        <v>0.0</v>
      </c>
      <c r="AH131" s="54">
        <v>0.0</v>
      </c>
      <c r="AI131" s="54">
        <v>0.0</v>
      </c>
      <c r="AJ131" s="54">
        <v>0.0</v>
      </c>
      <c r="AK131" s="54">
        <v>0.0</v>
      </c>
      <c r="AL131" s="54">
        <v>1.0</v>
      </c>
      <c r="AM131" s="54">
        <v>3.0</v>
      </c>
      <c r="AN131" s="7">
        <v>0.0</v>
      </c>
      <c r="AO131" s="7">
        <v>0.0</v>
      </c>
      <c r="AP131" s="7">
        <v>0.0</v>
      </c>
      <c r="AQ131" s="7">
        <v>0.0</v>
      </c>
      <c r="AR131" s="7">
        <v>0.0</v>
      </c>
      <c r="AS131" s="7">
        <v>0.0</v>
      </c>
      <c r="AT131" s="7">
        <v>0.0</v>
      </c>
      <c r="AU131" s="7">
        <v>0.0</v>
      </c>
      <c r="AV131" s="7">
        <v>0.0</v>
      </c>
      <c r="AW131" s="7">
        <v>0.0</v>
      </c>
      <c r="AX131" s="7">
        <v>0.0</v>
      </c>
      <c r="AY131" s="7">
        <v>0.0</v>
      </c>
      <c r="AZ131" s="7">
        <v>0.0</v>
      </c>
      <c r="BA131" s="7">
        <v>0.0</v>
      </c>
      <c r="BB131" s="7">
        <v>0.0</v>
      </c>
      <c r="BC131" s="7">
        <v>0.0</v>
      </c>
      <c r="BD131" s="7">
        <v>0.0</v>
      </c>
      <c r="BE131" s="7">
        <v>0.0</v>
      </c>
      <c r="BF131" s="7">
        <v>0.0</v>
      </c>
      <c r="BG131" s="7">
        <v>0.0</v>
      </c>
      <c r="BH131" s="7">
        <v>0.0</v>
      </c>
      <c r="BI131" s="7">
        <v>0.0</v>
      </c>
      <c r="BJ131" s="8">
        <v>0.0</v>
      </c>
    </row>
    <row r="132" ht="15.75" customHeight="1">
      <c r="A132" s="85" t="s">
        <v>113</v>
      </c>
      <c r="B132" s="54">
        <v>0.0</v>
      </c>
      <c r="C132" s="54">
        <v>0.0</v>
      </c>
      <c r="D132" s="54">
        <v>0.0</v>
      </c>
      <c r="E132" s="54">
        <v>0.0</v>
      </c>
      <c r="F132" s="54">
        <v>0.0</v>
      </c>
      <c r="G132" s="54">
        <v>0.0</v>
      </c>
      <c r="H132" s="54">
        <v>0.0</v>
      </c>
      <c r="I132" s="54">
        <v>0.0</v>
      </c>
      <c r="J132" s="54">
        <v>0.0</v>
      </c>
      <c r="K132" s="54">
        <v>0.0</v>
      </c>
      <c r="L132" s="54">
        <v>0.0</v>
      </c>
      <c r="M132" s="54">
        <v>0.0</v>
      </c>
      <c r="N132" s="54">
        <v>0.0</v>
      </c>
      <c r="O132" s="54">
        <v>0.0</v>
      </c>
      <c r="P132" s="54">
        <v>0.0</v>
      </c>
      <c r="Q132" s="54">
        <v>0.0</v>
      </c>
      <c r="R132" s="54">
        <v>0.0</v>
      </c>
      <c r="S132" s="54">
        <v>0.0</v>
      </c>
      <c r="T132" s="54">
        <v>0.0</v>
      </c>
      <c r="U132" s="54">
        <v>0.0</v>
      </c>
      <c r="V132" s="54">
        <v>0.0</v>
      </c>
      <c r="W132" s="54">
        <v>0.0</v>
      </c>
      <c r="X132" s="54">
        <v>0.0</v>
      </c>
      <c r="Y132" s="54">
        <v>0.0</v>
      </c>
      <c r="Z132" s="54">
        <v>0.0</v>
      </c>
      <c r="AA132" s="54">
        <v>0.0</v>
      </c>
      <c r="AB132" s="54">
        <v>0.0</v>
      </c>
      <c r="AC132" s="55">
        <v>0.0</v>
      </c>
      <c r="AD132" s="54">
        <v>0.0</v>
      </c>
      <c r="AE132" s="54">
        <v>0.0</v>
      </c>
      <c r="AF132" s="54">
        <v>0.0</v>
      </c>
      <c r="AG132" s="54">
        <v>0.0</v>
      </c>
      <c r="AH132" s="54">
        <v>0.0</v>
      </c>
      <c r="AI132" s="54">
        <v>0.0</v>
      </c>
      <c r="AJ132" s="54">
        <v>0.0</v>
      </c>
      <c r="AK132" s="54">
        <v>0.0</v>
      </c>
      <c r="AL132" s="54">
        <v>0.0</v>
      </c>
      <c r="AM132" s="54">
        <v>3.0</v>
      </c>
      <c r="AN132" s="54">
        <v>3.0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  <c r="AV132" s="7">
        <v>0.0</v>
      </c>
      <c r="AW132" s="7">
        <v>0.0</v>
      </c>
      <c r="AX132" s="7">
        <v>0.0</v>
      </c>
      <c r="AY132" s="7">
        <v>0.0</v>
      </c>
      <c r="AZ132" s="7">
        <v>0.0</v>
      </c>
      <c r="BA132" s="7">
        <v>0.0</v>
      </c>
      <c r="BB132" s="7">
        <v>0.0</v>
      </c>
      <c r="BC132" s="7">
        <v>0.0</v>
      </c>
      <c r="BD132" s="7">
        <v>0.0</v>
      </c>
      <c r="BE132" s="7">
        <v>0.0</v>
      </c>
      <c r="BF132" s="7">
        <v>0.0</v>
      </c>
      <c r="BG132" s="7">
        <v>0.0</v>
      </c>
      <c r="BH132" s="7">
        <v>0.0</v>
      </c>
      <c r="BI132" s="7">
        <v>0.0</v>
      </c>
      <c r="BJ132" s="8">
        <v>0.0</v>
      </c>
    </row>
    <row r="133" ht="15.75" customHeight="1">
      <c r="A133" s="85" t="s">
        <v>114</v>
      </c>
      <c r="B133" s="54">
        <v>0.0</v>
      </c>
      <c r="C133" s="54">
        <v>0.0</v>
      </c>
      <c r="D133" s="54">
        <v>0.0</v>
      </c>
      <c r="E133" s="54">
        <v>0.0</v>
      </c>
      <c r="F133" s="54">
        <v>0.0</v>
      </c>
      <c r="G133" s="54">
        <v>0.0</v>
      </c>
      <c r="H133" s="54">
        <v>0.0</v>
      </c>
      <c r="I133" s="54">
        <v>0.0</v>
      </c>
      <c r="J133" s="54">
        <v>0.0</v>
      </c>
      <c r="K133" s="54">
        <v>0.0</v>
      </c>
      <c r="L133" s="54">
        <v>0.0</v>
      </c>
      <c r="M133" s="54">
        <v>0.0</v>
      </c>
      <c r="N133" s="54">
        <v>0.0</v>
      </c>
      <c r="O133" s="54">
        <v>0.0</v>
      </c>
      <c r="P133" s="54">
        <v>0.0</v>
      </c>
      <c r="Q133" s="54">
        <v>0.0</v>
      </c>
      <c r="R133" s="54">
        <v>0.0</v>
      </c>
      <c r="S133" s="54">
        <v>0.0</v>
      </c>
      <c r="T133" s="54">
        <v>0.0</v>
      </c>
      <c r="U133" s="54">
        <v>0.0</v>
      </c>
      <c r="V133" s="54">
        <v>0.0</v>
      </c>
      <c r="W133" s="54">
        <v>0.0</v>
      </c>
      <c r="X133" s="54">
        <v>0.0</v>
      </c>
      <c r="Y133" s="54">
        <v>0.0</v>
      </c>
      <c r="Z133" s="54">
        <v>0.0</v>
      </c>
      <c r="AA133" s="54">
        <v>0.0</v>
      </c>
      <c r="AB133" s="54">
        <v>0.0</v>
      </c>
      <c r="AC133" s="55">
        <v>0.0</v>
      </c>
      <c r="AD133" s="54">
        <v>0.0</v>
      </c>
      <c r="AE133" s="54">
        <v>0.0</v>
      </c>
      <c r="AF133" s="54">
        <v>0.0</v>
      </c>
      <c r="AG133" s="54">
        <v>0.0</v>
      </c>
      <c r="AH133" s="54">
        <v>0.0</v>
      </c>
      <c r="AI133" s="54">
        <v>0.0</v>
      </c>
      <c r="AJ133" s="54">
        <v>0.0</v>
      </c>
      <c r="AK133" s="54">
        <v>0.0</v>
      </c>
      <c r="AL133" s="54">
        <v>0.0</v>
      </c>
      <c r="AM133" s="54">
        <v>0.0</v>
      </c>
      <c r="AN133" s="54">
        <v>3.0</v>
      </c>
      <c r="AO133" s="54">
        <v>1.0</v>
      </c>
      <c r="AP133" s="7">
        <v>0.0</v>
      </c>
      <c r="AQ133" s="7">
        <v>0.0</v>
      </c>
      <c r="AR133" s="7">
        <v>0.0</v>
      </c>
      <c r="AS133" s="7">
        <v>0.0</v>
      </c>
      <c r="AT133" s="7">
        <v>0.0</v>
      </c>
      <c r="AU133" s="7">
        <v>0.0</v>
      </c>
      <c r="AV133" s="7">
        <v>0.0</v>
      </c>
      <c r="AW133" s="7">
        <v>0.0</v>
      </c>
      <c r="AX133" s="7">
        <v>0.0</v>
      </c>
      <c r="AY133" s="7">
        <v>0.0</v>
      </c>
      <c r="AZ133" s="7">
        <v>0.0</v>
      </c>
      <c r="BA133" s="7">
        <v>0.0</v>
      </c>
      <c r="BB133" s="7">
        <v>0.0</v>
      </c>
      <c r="BC133" s="7">
        <v>0.0</v>
      </c>
      <c r="BD133" s="7">
        <v>0.0</v>
      </c>
      <c r="BE133" s="7">
        <v>0.0</v>
      </c>
      <c r="BF133" s="7">
        <v>0.0</v>
      </c>
      <c r="BG133" s="7">
        <v>0.0</v>
      </c>
      <c r="BH133" s="7">
        <v>0.0</v>
      </c>
      <c r="BI133" s="7">
        <v>0.0</v>
      </c>
      <c r="BJ133" s="8">
        <v>0.0</v>
      </c>
    </row>
    <row r="134" ht="15.75" customHeight="1">
      <c r="A134" s="85" t="s">
        <v>115</v>
      </c>
      <c r="B134" s="54">
        <v>0.0</v>
      </c>
      <c r="C134" s="54">
        <v>0.0</v>
      </c>
      <c r="D134" s="54">
        <v>0.0</v>
      </c>
      <c r="E134" s="54">
        <v>0.0</v>
      </c>
      <c r="F134" s="54">
        <v>0.0</v>
      </c>
      <c r="G134" s="54">
        <v>0.0</v>
      </c>
      <c r="H134" s="54">
        <v>0.0</v>
      </c>
      <c r="I134" s="54">
        <v>0.0</v>
      </c>
      <c r="J134" s="54">
        <v>0.0</v>
      </c>
      <c r="K134" s="54">
        <v>0.0</v>
      </c>
      <c r="L134" s="54">
        <v>0.0</v>
      </c>
      <c r="M134" s="54">
        <v>0.0</v>
      </c>
      <c r="N134" s="54">
        <v>0.0</v>
      </c>
      <c r="O134" s="54">
        <v>0.0</v>
      </c>
      <c r="P134" s="54">
        <v>0.0</v>
      </c>
      <c r="Q134" s="54">
        <v>0.0</v>
      </c>
      <c r="R134" s="54">
        <v>0.0</v>
      </c>
      <c r="S134" s="54">
        <v>0.0</v>
      </c>
      <c r="T134" s="54">
        <v>0.0</v>
      </c>
      <c r="U134" s="54">
        <v>0.0</v>
      </c>
      <c r="V134" s="54">
        <v>0.0</v>
      </c>
      <c r="W134" s="54">
        <v>0.0</v>
      </c>
      <c r="X134" s="54">
        <v>0.0</v>
      </c>
      <c r="Y134" s="54">
        <v>0.0</v>
      </c>
      <c r="Z134" s="54">
        <v>0.0</v>
      </c>
      <c r="AA134" s="54">
        <v>0.0</v>
      </c>
      <c r="AB134" s="54">
        <v>0.0</v>
      </c>
      <c r="AC134" s="55">
        <v>0.0</v>
      </c>
      <c r="AD134" s="54">
        <v>0.0</v>
      </c>
      <c r="AE134" s="54">
        <v>0.0</v>
      </c>
      <c r="AF134" s="54">
        <v>0.0</v>
      </c>
      <c r="AG134" s="54">
        <v>0.0</v>
      </c>
      <c r="AH134" s="54">
        <v>0.0</v>
      </c>
      <c r="AI134" s="54">
        <v>0.0</v>
      </c>
      <c r="AJ134" s="54">
        <v>0.0</v>
      </c>
      <c r="AK134" s="54">
        <v>0.0</v>
      </c>
      <c r="AL134" s="54">
        <v>0.0</v>
      </c>
      <c r="AM134" s="54">
        <v>0.0</v>
      </c>
      <c r="AN134" s="54">
        <v>0.0</v>
      </c>
      <c r="AO134" s="54">
        <v>2.0</v>
      </c>
      <c r="AP134" s="54">
        <v>1.0</v>
      </c>
      <c r="AQ134" s="7">
        <v>0.0</v>
      </c>
      <c r="AR134" s="7">
        <v>0.0</v>
      </c>
      <c r="AS134" s="7">
        <v>0.0</v>
      </c>
      <c r="AT134" s="7">
        <v>0.0</v>
      </c>
      <c r="AU134" s="7">
        <v>0.0</v>
      </c>
      <c r="AV134" s="7">
        <v>0.0</v>
      </c>
      <c r="AW134" s="7">
        <v>0.0</v>
      </c>
      <c r="AX134" s="7">
        <v>0.0</v>
      </c>
      <c r="AY134" s="7">
        <v>0.0</v>
      </c>
      <c r="AZ134" s="7">
        <v>0.0</v>
      </c>
      <c r="BA134" s="7">
        <v>0.0</v>
      </c>
      <c r="BB134" s="7">
        <v>0.0</v>
      </c>
      <c r="BC134" s="7">
        <v>0.0</v>
      </c>
      <c r="BD134" s="7">
        <v>0.0</v>
      </c>
      <c r="BE134" s="7">
        <v>0.0</v>
      </c>
      <c r="BF134" s="7">
        <v>0.0</v>
      </c>
      <c r="BG134" s="7">
        <v>0.0</v>
      </c>
      <c r="BH134" s="7">
        <v>0.0</v>
      </c>
      <c r="BI134" s="7">
        <v>0.0</v>
      </c>
      <c r="BJ134" s="8">
        <v>0.0</v>
      </c>
    </row>
    <row r="135" ht="15.75" customHeight="1">
      <c r="A135" s="86" t="s">
        <v>116</v>
      </c>
      <c r="B135" s="58">
        <v>0.0</v>
      </c>
      <c r="C135" s="58">
        <v>0.0</v>
      </c>
      <c r="D135" s="58">
        <v>0.0</v>
      </c>
      <c r="E135" s="58">
        <v>0.0</v>
      </c>
      <c r="F135" s="58">
        <v>0.0</v>
      </c>
      <c r="G135" s="58">
        <v>0.0</v>
      </c>
      <c r="H135" s="58">
        <v>0.0</v>
      </c>
      <c r="I135" s="58">
        <v>0.0</v>
      </c>
      <c r="J135" s="58">
        <v>0.0</v>
      </c>
      <c r="K135" s="58">
        <v>0.0</v>
      </c>
      <c r="L135" s="58">
        <v>0.0</v>
      </c>
      <c r="M135" s="58">
        <v>0.0</v>
      </c>
      <c r="N135" s="58">
        <v>0.0</v>
      </c>
      <c r="O135" s="58">
        <v>0.0</v>
      </c>
      <c r="P135" s="58">
        <v>0.0</v>
      </c>
      <c r="Q135" s="58">
        <v>0.0</v>
      </c>
      <c r="R135" s="58">
        <v>0.0</v>
      </c>
      <c r="S135" s="58">
        <v>0.0</v>
      </c>
      <c r="T135" s="58">
        <v>0.0</v>
      </c>
      <c r="U135" s="58">
        <v>0.0</v>
      </c>
      <c r="V135" s="58">
        <v>0.0</v>
      </c>
      <c r="W135" s="58">
        <v>0.0</v>
      </c>
      <c r="X135" s="58">
        <v>0.0</v>
      </c>
      <c r="Y135" s="58">
        <v>0.0</v>
      </c>
      <c r="Z135" s="58">
        <v>0.0</v>
      </c>
      <c r="AA135" s="58">
        <v>0.0</v>
      </c>
      <c r="AB135" s="58">
        <v>0.0</v>
      </c>
      <c r="AC135" s="59">
        <v>0.0</v>
      </c>
      <c r="AD135" s="58">
        <v>0.0</v>
      </c>
      <c r="AE135" s="58">
        <v>0.0</v>
      </c>
      <c r="AF135" s="58">
        <v>0.0</v>
      </c>
      <c r="AG135" s="58">
        <v>0.0</v>
      </c>
      <c r="AH135" s="58">
        <v>0.0</v>
      </c>
      <c r="AI135" s="58">
        <v>0.0</v>
      </c>
      <c r="AJ135" s="58">
        <v>0.0</v>
      </c>
      <c r="AK135" s="58">
        <v>0.0</v>
      </c>
      <c r="AL135" s="58">
        <v>0.0</v>
      </c>
      <c r="AM135" s="58">
        <v>0.0</v>
      </c>
      <c r="AN135" s="58">
        <v>0.0</v>
      </c>
      <c r="AO135" s="58">
        <v>0.0</v>
      </c>
      <c r="AP135" s="58">
        <v>1.0</v>
      </c>
      <c r="AQ135" s="58">
        <v>2.0</v>
      </c>
      <c r="AR135" s="45">
        <v>0.0</v>
      </c>
      <c r="AS135" s="45">
        <v>0.0</v>
      </c>
      <c r="AT135" s="45">
        <v>0.0</v>
      </c>
      <c r="AU135" s="45">
        <v>0.0</v>
      </c>
      <c r="AV135" s="45">
        <v>0.0</v>
      </c>
      <c r="AW135" s="45">
        <v>0.0</v>
      </c>
      <c r="AX135" s="45">
        <v>0.0</v>
      </c>
      <c r="AY135" s="45">
        <v>0.0</v>
      </c>
      <c r="AZ135" s="45">
        <v>0.0</v>
      </c>
      <c r="BA135" s="45">
        <v>0.0</v>
      </c>
      <c r="BB135" s="45">
        <v>0.0</v>
      </c>
      <c r="BC135" s="45">
        <v>0.0</v>
      </c>
      <c r="BD135" s="45">
        <v>0.0</v>
      </c>
      <c r="BE135" s="45">
        <v>0.0</v>
      </c>
      <c r="BF135" s="45">
        <v>0.0</v>
      </c>
      <c r="BG135" s="45">
        <v>0.0</v>
      </c>
      <c r="BH135" s="45">
        <v>0.0</v>
      </c>
      <c r="BI135" s="45">
        <v>0.0</v>
      </c>
      <c r="BJ135" s="46">
        <v>0.0</v>
      </c>
    </row>
    <row r="136" ht="15.75" customHeight="1">
      <c r="A136" s="78" t="s">
        <v>60</v>
      </c>
      <c r="B136" s="54">
        <v>0.0</v>
      </c>
      <c r="C136" s="54">
        <v>0.0</v>
      </c>
      <c r="D136" s="54">
        <v>0.0</v>
      </c>
      <c r="E136" s="54">
        <v>0.0</v>
      </c>
      <c r="F136" s="54">
        <v>0.0</v>
      </c>
      <c r="G136" s="54">
        <v>0.0</v>
      </c>
      <c r="H136" s="54">
        <v>0.0</v>
      </c>
      <c r="I136" s="54">
        <v>0.0</v>
      </c>
      <c r="J136" s="54">
        <v>0.0</v>
      </c>
      <c r="K136" s="54">
        <v>0.0</v>
      </c>
      <c r="L136" s="54">
        <v>0.0</v>
      </c>
      <c r="M136" s="54">
        <v>0.0</v>
      </c>
      <c r="N136" s="54">
        <v>0.0</v>
      </c>
      <c r="O136" s="54">
        <v>0.0</v>
      </c>
      <c r="P136" s="54">
        <v>0.0</v>
      </c>
      <c r="Q136" s="54">
        <v>0.0</v>
      </c>
      <c r="R136" s="54">
        <v>0.0</v>
      </c>
      <c r="S136" s="54">
        <v>0.0</v>
      </c>
      <c r="T136" s="54">
        <v>0.0</v>
      </c>
      <c r="U136" s="54">
        <v>0.0</v>
      </c>
      <c r="V136" s="54">
        <v>0.0</v>
      </c>
      <c r="W136" s="54">
        <v>0.0</v>
      </c>
      <c r="X136" s="54">
        <v>0.0</v>
      </c>
      <c r="Y136" s="54">
        <v>0.0</v>
      </c>
      <c r="Z136" s="54">
        <v>0.0</v>
      </c>
      <c r="AA136" s="54">
        <v>0.0</v>
      </c>
      <c r="AB136" s="54">
        <v>0.0</v>
      </c>
      <c r="AC136" s="55">
        <v>0.0</v>
      </c>
      <c r="AD136" s="54">
        <v>0.0</v>
      </c>
      <c r="AE136" s="54">
        <v>0.0</v>
      </c>
      <c r="AF136" s="54">
        <v>0.0</v>
      </c>
      <c r="AG136" s="54">
        <v>2.0</v>
      </c>
      <c r="AH136" s="54">
        <v>4.0</v>
      </c>
      <c r="AI136" s="54">
        <v>5.0</v>
      </c>
      <c r="AJ136" s="7">
        <v>0.0</v>
      </c>
      <c r="AK136" s="7">
        <v>0.0</v>
      </c>
      <c r="AL136" s="7">
        <v>0.0</v>
      </c>
      <c r="AM136" s="7">
        <v>0.0</v>
      </c>
      <c r="AN136" s="7">
        <v>0.0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0.0</v>
      </c>
      <c r="AU136" s="7">
        <v>0.0</v>
      </c>
      <c r="AV136" s="7">
        <v>0.0</v>
      </c>
      <c r="AW136" s="7">
        <v>0.0</v>
      </c>
      <c r="AX136" s="7">
        <v>0.0</v>
      </c>
      <c r="AY136" s="7">
        <v>0.0</v>
      </c>
      <c r="AZ136" s="7">
        <v>0.0</v>
      </c>
      <c r="BA136" s="7">
        <v>0.0</v>
      </c>
      <c r="BB136" s="7">
        <v>0.0</v>
      </c>
      <c r="BC136" s="7">
        <v>0.0</v>
      </c>
      <c r="BD136" s="7">
        <v>0.0</v>
      </c>
      <c r="BE136" s="7">
        <v>0.0</v>
      </c>
      <c r="BF136" s="7">
        <v>0.0</v>
      </c>
      <c r="BG136" s="7">
        <v>0.0</v>
      </c>
      <c r="BH136" s="7">
        <v>0.0</v>
      </c>
      <c r="BI136" s="7">
        <v>0.0</v>
      </c>
      <c r="BJ136" s="8">
        <v>0.0</v>
      </c>
    </row>
    <row r="137" ht="15.75" customHeight="1">
      <c r="A137" s="79" t="s">
        <v>117</v>
      </c>
      <c r="B137" s="54">
        <v>0.0</v>
      </c>
      <c r="C137" s="54">
        <v>0.0</v>
      </c>
      <c r="D137" s="54">
        <v>0.0</v>
      </c>
      <c r="E137" s="54">
        <v>0.0</v>
      </c>
      <c r="F137" s="54">
        <v>0.0</v>
      </c>
      <c r="G137" s="54">
        <v>0.0</v>
      </c>
      <c r="H137" s="54">
        <v>0.0</v>
      </c>
      <c r="I137" s="54">
        <v>0.0</v>
      </c>
      <c r="J137" s="54">
        <v>0.0</v>
      </c>
      <c r="K137" s="54">
        <v>0.0</v>
      </c>
      <c r="L137" s="54">
        <v>0.0</v>
      </c>
      <c r="M137" s="54">
        <v>0.0</v>
      </c>
      <c r="N137" s="54">
        <v>0.0</v>
      </c>
      <c r="O137" s="54">
        <v>0.0</v>
      </c>
      <c r="P137" s="54">
        <v>0.0</v>
      </c>
      <c r="Q137" s="54">
        <v>0.0</v>
      </c>
      <c r="R137" s="54">
        <v>0.0</v>
      </c>
      <c r="S137" s="54">
        <v>0.0</v>
      </c>
      <c r="T137" s="54">
        <v>0.0</v>
      </c>
      <c r="U137" s="54">
        <v>0.0</v>
      </c>
      <c r="V137" s="54">
        <v>0.0</v>
      </c>
      <c r="W137" s="54">
        <v>0.0</v>
      </c>
      <c r="X137" s="54">
        <v>0.0</v>
      </c>
      <c r="Y137" s="54">
        <v>0.0</v>
      </c>
      <c r="Z137" s="54">
        <v>0.0</v>
      </c>
      <c r="AA137" s="54">
        <v>0.0</v>
      </c>
      <c r="AB137" s="54">
        <v>0.0</v>
      </c>
      <c r="AC137" s="55">
        <v>0.0</v>
      </c>
      <c r="AD137" s="54">
        <v>0.0</v>
      </c>
      <c r="AE137" s="54">
        <v>0.0</v>
      </c>
      <c r="AF137" s="54">
        <v>0.0</v>
      </c>
      <c r="AG137" s="54">
        <v>0.0</v>
      </c>
      <c r="AH137" s="54">
        <v>0.0</v>
      </c>
      <c r="AI137" s="54">
        <v>2.0</v>
      </c>
      <c r="AJ137" s="54">
        <v>1.0</v>
      </c>
      <c r="AK137" s="54">
        <v>1.0</v>
      </c>
      <c r="AL137" s="54">
        <v>1.0</v>
      </c>
      <c r="AM137" s="7">
        <v>0.0</v>
      </c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>
        <v>0.0</v>
      </c>
      <c r="AX137" s="7">
        <v>0.0</v>
      </c>
      <c r="AY137" s="7">
        <v>0.0</v>
      </c>
      <c r="AZ137" s="7">
        <v>0.0</v>
      </c>
      <c r="BA137" s="7">
        <v>0.0</v>
      </c>
      <c r="BB137" s="7">
        <v>0.0</v>
      </c>
      <c r="BC137" s="7">
        <v>0.0</v>
      </c>
      <c r="BD137" s="7">
        <v>0.0</v>
      </c>
      <c r="BE137" s="7">
        <v>0.0</v>
      </c>
      <c r="BF137" s="7">
        <v>0.0</v>
      </c>
      <c r="BG137" s="7">
        <v>0.0</v>
      </c>
      <c r="BH137" s="7">
        <v>0.0</v>
      </c>
      <c r="BI137" s="7">
        <v>0.0</v>
      </c>
      <c r="BJ137" s="8">
        <v>0.0</v>
      </c>
    </row>
    <row r="138" ht="15.75" customHeight="1">
      <c r="A138" s="79" t="s">
        <v>118</v>
      </c>
      <c r="B138" s="54">
        <v>0.0</v>
      </c>
      <c r="C138" s="54">
        <v>0.0</v>
      </c>
      <c r="D138" s="54">
        <v>0.0</v>
      </c>
      <c r="E138" s="54">
        <v>0.0</v>
      </c>
      <c r="F138" s="54">
        <v>0.0</v>
      </c>
      <c r="G138" s="54">
        <v>0.0</v>
      </c>
      <c r="H138" s="54">
        <v>0.0</v>
      </c>
      <c r="I138" s="54">
        <v>0.0</v>
      </c>
      <c r="J138" s="54">
        <v>0.0</v>
      </c>
      <c r="K138" s="54">
        <v>0.0</v>
      </c>
      <c r="L138" s="54">
        <v>0.0</v>
      </c>
      <c r="M138" s="54">
        <v>0.0</v>
      </c>
      <c r="N138" s="54">
        <v>0.0</v>
      </c>
      <c r="O138" s="54">
        <v>0.0</v>
      </c>
      <c r="P138" s="54">
        <v>0.0</v>
      </c>
      <c r="Q138" s="54">
        <v>0.0</v>
      </c>
      <c r="R138" s="54">
        <v>0.0</v>
      </c>
      <c r="S138" s="54">
        <v>0.0</v>
      </c>
      <c r="T138" s="54">
        <v>0.0</v>
      </c>
      <c r="U138" s="54">
        <v>0.0</v>
      </c>
      <c r="V138" s="54">
        <v>0.0</v>
      </c>
      <c r="W138" s="54">
        <v>0.0</v>
      </c>
      <c r="X138" s="54">
        <v>0.0</v>
      </c>
      <c r="Y138" s="54">
        <v>0.0</v>
      </c>
      <c r="Z138" s="54">
        <v>0.0</v>
      </c>
      <c r="AA138" s="54">
        <v>0.0</v>
      </c>
      <c r="AB138" s="54">
        <v>0.0</v>
      </c>
      <c r="AC138" s="55">
        <v>0.0</v>
      </c>
      <c r="AD138" s="54">
        <v>0.0</v>
      </c>
      <c r="AE138" s="54">
        <v>0.0</v>
      </c>
      <c r="AF138" s="54">
        <v>0.0</v>
      </c>
      <c r="AG138" s="54">
        <v>0.0</v>
      </c>
      <c r="AH138" s="54">
        <v>0.0</v>
      </c>
      <c r="AI138" s="54">
        <v>0.0</v>
      </c>
      <c r="AJ138" s="54">
        <v>0.0</v>
      </c>
      <c r="AK138" s="54">
        <v>0.0</v>
      </c>
      <c r="AL138" s="54">
        <v>4.0</v>
      </c>
      <c r="AM138" s="54">
        <v>2.0</v>
      </c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  <c r="AV138" s="7">
        <v>0.0</v>
      </c>
      <c r="AW138" s="7">
        <v>0.0</v>
      </c>
      <c r="AX138" s="7">
        <v>0.0</v>
      </c>
      <c r="AY138" s="7">
        <v>0.0</v>
      </c>
      <c r="AZ138" s="7">
        <v>0.0</v>
      </c>
      <c r="BA138" s="7">
        <v>0.0</v>
      </c>
      <c r="BB138" s="7">
        <v>0.0</v>
      </c>
      <c r="BC138" s="7">
        <v>0.0</v>
      </c>
      <c r="BD138" s="7">
        <v>0.0</v>
      </c>
      <c r="BE138" s="7">
        <v>0.0</v>
      </c>
      <c r="BF138" s="7">
        <v>0.0</v>
      </c>
      <c r="BG138" s="7">
        <v>0.0</v>
      </c>
      <c r="BH138" s="7">
        <v>0.0</v>
      </c>
      <c r="BI138" s="7">
        <v>0.0</v>
      </c>
      <c r="BJ138" s="8">
        <v>0.0</v>
      </c>
    </row>
    <row r="139" ht="15.75" customHeight="1">
      <c r="A139" s="79" t="s">
        <v>119</v>
      </c>
      <c r="B139" s="54">
        <v>0.0</v>
      </c>
      <c r="C139" s="54">
        <v>0.0</v>
      </c>
      <c r="D139" s="54">
        <v>0.0</v>
      </c>
      <c r="E139" s="54">
        <v>0.0</v>
      </c>
      <c r="F139" s="54">
        <v>0.0</v>
      </c>
      <c r="G139" s="54">
        <v>0.0</v>
      </c>
      <c r="H139" s="54">
        <v>0.0</v>
      </c>
      <c r="I139" s="54">
        <v>0.0</v>
      </c>
      <c r="J139" s="54">
        <v>0.0</v>
      </c>
      <c r="K139" s="54">
        <v>0.0</v>
      </c>
      <c r="L139" s="54">
        <v>0.0</v>
      </c>
      <c r="M139" s="54">
        <v>0.0</v>
      </c>
      <c r="N139" s="54">
        <v>0.0</v>
      </c>
      <c r="O139" s="54">
        <v>0.0</v>
      </c>
      <c r="P139" s="54">
        <v>0.0</v>
      </c>
      <c r="Q139" s="54">
        <v>0.0</v>
      </c>
      <c r="R139" s="54">
        <v>0.0</v>
      </c>
      <c r="S139" s="54">
        <v>0.0</v>
      </c>
      <c r="T139" s="54">
        <v>0.0</v>
      </c>
      <c r="U139" s="54">
        <v>0.0</v>
      </c>
      <c r="V139" s="54">
        <v>0.0</v>
      </c>
      <c r="W139" s="54">
        <v>0.0</v>
      </c>
      <c r="X139" s="54">
        <v>0.0</v>
      </c>
      <c r="Y139" s="54">
        <v>0.0</v>
      </c>
      <c r="Z139" s="54">
        <v>0.0</v>
      </c>
      <c r="AA139" s="54">
        <v>0.0</v>
      </c>
      <c r="AB139" s="54">
        <v>0.0</v>
      </c>
      <c r="AC139" s="55">
        <v>0.0</v>
      </c>
      <c r="AD139" s="54">
        <v>0.0</v>
      </c>
      <c r="AE139" s="54">
        <v>0.0</v>
      </c>
      <c r="AF139" s="54">
        <v>0.0</v>
      </c>
      <c r="AG139" s="54">
        <v>0.0</v>
      </c>
      <c r="AH139" s="54">
        <v>0.0</v>
      </c>
      <c r="AI139" s="54">
        <v>0.0</v>
      </c>
      <c r="AJ139" s="54">
        <v>0.0</v>
      </c>
      <c r="AK139" s="54">
        <v>0.0</v>
      </c>
      <c r="AL139" s="54">
        <v>0.0</v>
      </c>
      <c r="AM139" s="54">
        <v>2.0</v>
      </c>
      <c r="AN139" s="54">
        <v>1.0</v>
      </c>
      <c r="AO139" s="7">
        <v>0.0</v>
      </c>
      <c r="AP139" s="7">
        <v>0.0</v>
      </c>
      <c r="AQ139" s="7">
        <v>0.0</v>
      </c>
      <c r="AR139" s="7">
        <v>0.0</v>
      </c>
      <c r="AS139" s="7">
        <v>0.0</v>
      </c>
      <c r="AT139" s="7">
        <v>0.0</v>
      </c>
      <c r="AU139" s="7">
        <v>0.0</v>
      </c>
      <c r="AV139" s="7">
        <v>0.0</v>
      </c>
      <c r="AW139" s="7">
        <v>0.0</v>
      </c>
      <c r="AX139" s="7">
        <v>0.0</v>
      </c>
      <c r="AY139" s="7">
        <v>0.0</v>
      </c>
      <c r="AZ139" s="7">
        <v>0.0</v>
      </c>
      <c r="BA139" s="7">
        <v>0.0</v>
      </c>
      <c r="BB139" s="7">
        <v>0.0</v>
      </c>
      <c r="BC139" s="7">
        <v>0.0</v>
      </c>
      <c r="BD139" s="7">
        <v>0.0</v>
      </c>
      <c r="BE139" s="7">
        <v>0.0</v>
      </c>
      <c r="BF139" s="7">
        <v>0.0</v>
      </c>
      <c r="BG139" s="7">
        <v>0.0</v>
      </c>
      <c r="BH139" s="7">
        <v>0.0</v>
      </c>
      <c r="BI139" s="7">
        <v>0.0</v>
      </c>
      <c r="BJ139" s="8">
        <v>0.0</v>
      </c>
    </row>
    <row r="140" ht="15.75" customHeight="1">
      <c r="A140" s="80" t="s">
        <v>120</v>
      </c>
      <c r="B140" s="58">
        <v>0.0</v>
      </c>
      <c r="C140" s="58">
        <v>0.0</v>
      </c>
      <c r="D140" s="58">
        <v>0.0</v>
      </c>
      <c r="E140" s="58">
        <v>0.0</v>
      </c>
      <c r="F140" s="58">
        <v>0.0</v>
      </c>
      <c r="G140" s="58">
        <v>0.0</v>
      </c>
      <c r="H140" s="58">
        <v>0.0</v>
      </c>
      <c r="I140" s="58">
        <v>0.0</v>
      </c>
      <c r="J140" s="58">
        <v>0.0</v>
      </c>
      <c r="K140" s="58">
        <v>0.0</v>
      </c>
      <c r="L140" s="58">
        <v>0.0</v>
      </c>
      <c r="M140" s="58">
        <v>0.0</v>
      </c>
      <c r="N140" s="58">
        <v>0.0</v>
      </c>
      <c r="O140" s="58">
        <v>0.0</v>
      </c>
      <c r="P140" s="58">
        <v>0.0</v>
      </c>
      <c r="Q140" s="58">
        <v>0.0</v>
      </c>
      <c r="R140" s="58">
        <v>0.0</v>
      </c>
      <c r="S140" s="58">
        <v>0.0</v>
      </c>
      <c r="T140" s="58">
        <v>0.0</v>
      </c>
      <c r="U140" s="58">
        <v>0.0</v>
      </c>
      <c r="V140" s="58">
        <v>0.0</v>
      </c>
      <c r="W140" s="58">
        <v>0.0</v>
      </c>
      <c r="X140" s="58">
        <v>0.0</v>
      </c>
      <c r="Y140" s="58">
        <v>0.0</v>
      </c>
      <c r="Z140" s="58">
        <v>0.0</v>
      </c>
      <c r="AA140" s="58">
        <v>0.0</v>
      </c>
      <c r="AB140" s="58">
        <v>0.0</v>
      </c>
      <c r="AC140" s="59">
        <v>0.0</v>
      </c>
      <c r="AD140" s="58">
        <v>0.0</v>
      </c>
      <c r="AE140" s="58">
        <v>0.0</v>
      </c>
      <c r="AF140" s="58">
        <v>0.0</v>
      </c>
      <c r="AG140" s="58">
        <v>0.0</v>
      </c>
      <c r="AH140" s="58">
        <v>0.0</v>
      </c>
      <c r="AI140" s="58">
        <v>0.0</v>
      </c>
      <c r="AJ140" s="58">
        <v>0.0</v>
      </c>
      <c r="AK140" s="58">
        <v>0.0</v>
      </c>
      <c r="AL140" s="58">
        <v>0.0</v>
      </c>
      <c r="AM140" s="58">
        <v>0.0</v>
      </c>
      <c r="AN140" s="58">
        <v>1.0</v>
      </c>
      <c r="AO140" s="58">
        <v>3.0</v>
      </c>
      <c r="AP140" s="45">
        <v>0.0</v>
      </c>
      <c r="AQ140" s="45">
        <v>0.0</v>
      </c>
      <c r="AR140" s="45">
        <v>0.0</v>
      </c>
      <c r="AS140" s="45">
        <v>0.0</v>
      </c>
      <c r="AT140" s="45">
        <v>0.0</v>
      </c>
      <c r="AU140" s="45">
        <v>0.0</v>
      </c>
      <c r="AV140" s="45">
        <v>0.0</v>
      </c>
      <c r="AW140" s="45">
        <v>0.0</v>
      </c>
      <c r="AX140" s="45">
        <v>0.0</v>
      </c>
      <c r="AY140" s="45">
        <v>0.0</v>
      </c>
      <c r="AZ140" s="45">
        <v>0.0</v>
      </c>
      <c r="BA140" s="45">
        <v>0.0</v>
      </c>
      <c r="BB140" s="45">
        <v>0.0</v>
      </c>
      <c r="BC140" s="45">
        <v>0.0</v>
      </c>
      <c r="BD140" s="45">
        <v>0.0</v>
      </c>
      <c r="BE140" s="45">
        <v>0.0</v>
      </c>
      <c r="BF140" s="45">
        <v>0.0</v>
      </c>
      <c r="BG140" s="45">
        <v>0.0</v>
      </c>
      <c r="BH140" s="45">
        <v>0.0</v>
      </c>
      <c r="BI140" s="45">
        <v>0.0</v>
      </c>
      <c r="BJ140" s="46">
        <v>0.0</v>
      </c>
    </row>
    <row r="141" ht="15.75" customHeight="1">
      <c r="A141" s="53" t="s">
        <v>121</v>
      </c>
      <c r="B141" s="54">
        <v>0.0</v>
      </c>
      <c r="C141" s="54">
        <v>0.0</v>
      </c>
      <c r="D141" s="54">
        <v>0.0</v>
      </c>
      <c r="E141" s="54">
        <v>0.0</v>
      </c>
      <c r="F141" s="54">
        <v>0.0</v>
      </c>
      <c r="G141" s="54">
        <v>0.0</v>
      </c>
      <c r="H141" s="54">
        <v>0.0</v>
      </c>
      <c r="I141" s="54">
        <v>0.0</v>
      </c>
      <c r="J141" s="54">
        <v>0.0</v>
      </c>
      <c r="K141" s="54">
        <v>0.0</v>
      </c>
      <c r="L141" s="54">
        <v>0.0</v>
      </c>
      <c r="M141" s="54">
        <v>0.0</v>
      </c>
      <c r="N141" s="54">
        <v>0.0</v>
      </c>
      <c r="O141" s="54">
        <v>0.0</v>
      </c>
      <c r="P141" s="54">
        <v>0.0</v>
      </c>
      <c r="Q141" s="54">
        <v>0.0</v>
      </c>
      <c r="R141" s="54">
        <v>0.0</v>
      </c>
      <c r="S141" s="54">
        <v>0.0</v>
      </c>
      <c r="T141" s="54">
        <v>0.0</v>
      </c>
      <c r="U141" s="54">
        <v>0.0</v>
      </c>
      <c r="V141" s="54">
        <v>0.0</v>
      </c>
      <c r="W141" s="54">
        <v>0.0</v>
      </c>
      <c r="X141" s="54">
        <v>0.0</v>
      </c>
      <c r="Y141" s="54">
        <v>0.0</v>
      </c>
      <c r="Z141" s="54">
        <v>0.0</v>
      </c>
      <c r="AA141" s="54">
        <v>0.0</v>
      </c>
      <c r="AB141" s="54">
        <v>0.0</v>
      </c>
      <c r="AC141" s="55">
        <v>0.0</v>
      </c>
      <c r="AD141" s="54">
        <v>0.0</v>
      </c>
      <c r="AE141" s="54">
        <v>0.0</v>
      </c>
      <c r="AF141" s="54">
        <v>0.0</v>
      </c>
      <c r="AG141" s="54">
        <v>0.0</v>
      </c>
      <c r="AH141" s="54">
        <v>3.0</v>
      </c>
      <c r="AI141" s="54">
        <v>5.0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  <c r="AV141" s="7">
        <v>0.0</v>
      </c>
      <c r="AW141" s="7">
        <v>0.0</v>
      </c>
      <c r="AX141" s="7">
        <v>0.0</v>
      </c>
      <c r="AY141" s="7">
        <v>0.0</v>
      </c>
      <c r="AZ141" s="7">
        <v>0.0</v>
      </c>
      <c r="BA141" s="7">
        <v>0.0</v>
      </c>
      <c r="BB141" s="7">
        <v>0.0</v>
      </c>
      <c r="BC141" s="7">
        <v>0.0</v>
      </c>
      <c r="BD141" s="7">
        <v>0.0</v>
      </c>
      <c r="BE141" s="7">
        <v>0.0</v>
      </c>
      <c r="BF141" s="7">
        <v>0.0</v>
      </c>
      <c r="BG141" s="7">
        <v>0.0</v>
      </c>
      <c r="BH141" s="7">
        <v>0.0</v>
      </c>
      <c r="BI141" s="7">
        <v>0.0</v>
      </c>
      <c r="BJ141" s="8">
        <v>0.0</v>
      </c>
    </row>
    <row r="142" ht="15.75" customHeight="1">
      <c r="A142" s="56" t="s">
        <v>122</v>
      </c>
      <c r="B142" s="54">
        <v>0.0</v>
      </c>
      <c r="C142" s="54">
        <v>0.0</v>
      </c>
      <c r="D142" s="54">
        <v>0.0</v>
      </c>
      <c r="E142" s="54">
        <v>0.0</v>
      </c>
      <c r="F142" s="54">
        <v>0.0</v>
      </c>
      <c r="G142" s="54">
        <v>0.0</v>
      </c>
      <c r="H142" s="54">
        <v>0.0</v>
      </c>
      <c r="I142" s="54">
        <v>0.0</v>
      </c>
      <c r="J142" s="54">
        <v>0.0</v>
      </c>
      <c r="K142" s="54">
        <v>0.0</v>
      </c>
      <c r="L142" s="54">
        <v>0.0</v>
      </c>
      <c r="M142" s="54">
        <v>0.0</v>
      </c>
      <c r="N142" s="54">
        <v>0.0</v>
      </c>
      <c r="O142" s="54">
        <v>0.0</v>
      </c>
      <c r="P142" s="54">
        <v>0.0</v>
      </c>
      <c r="Q142" s="54">
        <v>0.0</v>
      </c>
      <c r="R142" s="54">
        <v>0.0</v>
      </c>
      <c r="S142" s="54">
        <v>0.0</v>
      </c>
      <c r="T142" s="54">
        <v>0.0</v>
      </c>
      <c r="U142" s="54">
        <v>0.0</v>
      </c>
      <c r="V142" s="54">
        <v>0.0</v>
      </c>
      <c r="W142" s="54">
        <v>0.0</v>
      </c>
      <c r="X142" s="54">
        <v>0.0</v>
      </c>
      <c r="Y142" s="54">
        <v>0.0</v>
      </c>
      <c r="Z142" s="54">
        <v>0.0</v>
      </c>
      <c r="AA142" s="54">
        <v>0.0</v>
      </c>
      <c r="AB142" s="54">
        <v>0.0</v>
      </c>
      <c r="AC142" s="55">
        <v>0.0</v>
      </c>
      <c r="AD142" s="54">
        <v>0.0</v>
      </c>
      <c r="AE142" s="54">
        <v>0.0</v>
      </c>
      <c r="AF142" s="54">
        <v>0.0</v>
      </c>
      <c r="AG142" s="54">
        <v>0.0</v>
      </c>
      <c r="AH142" s="54">
        <v>0.0</v>
      </c>
      <c r="AI142" s="54">
        <v>0.0</v>
      </c>
      <c r="AJ142" s="54">
        <v>0.0</v>
      </c>
      <c r="AK142" s="54">
        <v>0.0</v>
      </c>
      <c r="AL142" s="54">
        <v>6.0</v>
      </c>
      <c r="AM142" s="7">
        <v>0.0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>
        <v>0.0</v>
      </c>
      <c r="AX142" s="7">
        <v>0.0</v>
      </c>
      <c r="AY142" s="7">
        <v>0.0</v>
      </c>
      <c r="AZ142" s="7">
        <v>0.0</v>
      </c>
      <c r="BA142" s="7">
        <v>0.0</v>
      </c>
      <c r="BB142" s="7">
        <v>0.0</v>
      </c>
      <c r="BC142" s="7">
        <v>0.0</v>
      </c>
      <c r="BD142" s="7">
        <v>0.0</v>
      </c>
      <c r="BE142" s="7">
        <v>0.0</v>
      </c>
      <c r="BF142" s="7">
        <v>0.0</v>
      </c>
      <c r="BG142" s="7">
        <v>0.0</v>
      </c>
      <c r="BH142" s="7">
        <v>0.0</v>
      </c>
      <c r="BI142" s="7">
        <v>0.0</v>
      </c>
      <c r="BJ142" s="8">
        <v>0.0</v>
      </c>
    </row>
    <row r="143" ht="15.75" customHeight="1">
      <c r="A143" s="56" t="s">
        <v>123</v>
      </c>
      <c r="B143" s="54">
        <v>0.0</v>
      </c>
      <c r="C143" s="54">
        <v>0.0</v>
      </c>
      <c r="D143" s="54">
        <v>0.0</v>
      </c>
      <c r="E143" s="54">
        <v>0.0</v>
      </c>
      <c r="F143" s="54">
        <v>0.0</v>
      </c>
      <c r="G143" s="54">
        <v>0.0</v>
      </c>
      <c r="H143" s="54">
        <v>0.0</v>
      </c>
      <c r="I143" s="54">
        <v>0.0</v>
      </c>
      <c r="J143" s="54">
        <v>0.0</v>
      </c>
      <c r="K143" s="54">
        <v>0.0</v>
      </c>
      <c r="L143" s="54">
        <v>0.0</v>
      </c>
      <c r="M143" s="54">
        <v>0.0</v>
      </c>
      <c r="N143" s="54">
        <v>0.0</v>
      </c>
      <c r="O143" s="54">
        <v>0.0</v>
      </c>
      <c r="P143" s="54">
        <v>0.0</v>
      </c>
      <c r="Q143" s="54">
        <v>0.0</v>
      </c>
      <c r="R143" s="54">
        <v>0.0</v>
      </c>
      <c r="S143" s="54">
        <v>0.0</v>
      </c>
      <c r="T143" s="54">
        <v>0.0</v>
      </c>
      <c r="U143" s="54">
        <v>0.0</v>
      </c>
      <c r="V143" s="54">
        <v>0.0</v>
      </c>
      <c r="W143" s="54">
        <v>0.0</v>
      </c>
      <c r="X143" s="54">
        <v>0.0</v>
      </c>
      <c r="Y143" s="54">
        <v>0.0</v>
      </c>
      <c r="Z143" s="54">
        <v>0.0</v>
      </c>
      <c r="AA143" s="54">
        <v>0.0</v>
      </c>
      <c r="AB143" s="54">
        <v>0.0</v>
      </c>
      <c r="AC143" s="55">
        <v>0.0</v>
      </c>
      <c r="AD143" s="54">
        <v>0.0</v>
      </c>
      <c r="AE143" s="54">
        <v>0.0</v>
      </c>
      <c r="AF143" s="54">
        <v>0.0</v>
      </c>
      <c r="AG143" s="54">
        <v>0.0</v>
      </c>
      <c r="AH143" s="54">
        <v>0.0</v>
      </c>
      <c r="AI143" s="54">
        <v>0.0</v>
      </c>
      <c r="AJ143" s="54">
        <v>0.0</v>
      </c>
      <c r="AK143" s="54">
        <v>0.0</v>
      </c>
      <c r="AL143" s="54">
        <v>0.0</v>
      </c>
      <c r="AM143" s="54">
        <v>4.0</v>
      </c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  <c r="AV143" s="7">
        <v>0.0</v>
      </c>
      <c r="AW143" s="7">
        <v>0.0</v>
      </c>
      <c r="AX143" s="7">
        <v>0.0</v>
      </c>
      <c r="AY143" s="7">
        <v>0.0</v>
      </c>
      <c r="AZ143" s="7">
        <v>0.0</v>
      </c>
      <c r="BA143" s="7">
        <v>0.0</v>
      </c>
      <c r="BB143" s="7">
        <v>0.0</v>
      </c>
      <c r="BC143" s="7">
        <v>0.0</v>
      </c>
      <c r="BD143" s="7">
        <v>0.0</v>
      </c>
      <c r="BE143" s="7">
        <v>0.0</v>
      </c>
      <c r="BF143" s="7">
        <v>0.0</v>
      </c>
      <c r="BG143" s="7">
        <v>0.0</v>
      </c>
      <c r="BH143" s="7">
        <v>0.0</v>
      </c>
      <c r="BI143" s="7">
        <v>0.0</v>
      </c>
      <c r="BJ143" s="8">
        <v>0.0</v>
      </c>
    </row>
    <row r="144" ht="15.75" customHeight="1">
      <c r="A144" s="56" t="s">
        <v>124</v>
      </c>
      <c r="B144" s="54">
        <v>0.0</v>
      </c>
      <c r="C144" s="54">
        <v>0.0</v>
      </c>
      <c r="D144" s="54">
        <v>0.0</v>
      </c>
      <c r="E144" s="54">
        <v>0.0</v>
      </c>
      <c r="F144" s="54">
        <v>0.0</v>
      </c>
      <c r="G144" s="54">
        <v>0.0</v>
      </c>
      <c r="H144" s="54">
        <v>0.0</v>
      </c>
      <c r="I144" s="54">
        <v>0.0</v>
      </c>
      <c r="J144" s="54">
        <v>0.0</v>
      </c>
      <c r="K144" s="54">
        <v>0.0</v>
      </c>
      <c r="L144" s="54">
        <v>0.0</v>
      </c>
      <c r="M144" s="54">
        <v>0.0</v>
      </c>
      <c r="N144" s="54">
        <v>0.0</v>
      </c>
      <c r="O144" s="54">
        <v>0.0</v>
      </c>
      <c r="P144" s="54">
        <v>0.0</v>
      </c>
      <c r="Q144" s="54">
        <v>0.0</v>
      </c>
      <c r="R144" s="54">
        <v>0.0</v>
      </c>
      <c r="S144" s="54">
        <v>0.0</v>
      </c>
      <c r="T144" s="54">
        <v>0.0</v>
      </c>
      <c r="U144" s="54">
        <v>0.0</v>
      </c>
      <c r="V144" s="54">
        <v>0.0</v>
      </c>
      <c r="W144" s="54">
        <v>0.0</v>
      </c>
      <c r="X144" s="54">
        <v>0.0</v>
      </c>
      <c r="Y144" s="54">
        <v>0.0</v>
      </c>
      <c r="Z144" s="54">
        <v>0.0</v>
      </c>
      <c r="AA144" s="54">
        <v>0.0</v>
      </c>
      <c r="AB144" s="54">
        <v>0.0</v>
      </c>
      <c r="AC144" s="55">
        <v>0.0</v>
      </c>
      <c r="AD144" s="54">
        <v>0.0</v>
      </c>
      <c r="AE144" s="54">
        <v>0.0</v>
      </c>
      <c r="AF144" s="54">
        <v>0.0</v>
      </c>
      <c r="AG144" s="54">
        <v>0.0</v>
      </c>
      <c r="AH144" s="54">
        <v>0.0</v>
      </c>
      <c r="AI144" s="54">
        <v>0.0</v>
      </c>
      <c r="AJ144" s="54">
        <v>0.0</v>
      </c>
      <c r="AK144" s="54">
        <v>0.0</v>
      </c>
      <c r="AL144" s="54">
        <v>0.0</v>
      </c>
      <c r="AM144" s="54">
        <v>0.0</v>
      </c>
      <c r="AN144" s="54">
        <v>5.0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  <c r="AV144" s="7">
        <v>0.0</v>
      </c>
      <c r="AW144" s="7">
        <v>0.0</v>
      </c>
      <c r="AX144" s="7">
        <v>0.0</v>
      </c>
      <c r="AY144" s="7">
        <v>0.0</v>
      </c>
      <c r="AZ144" s="7">
        <v>0.0</v>
      </c>
      <c r="BA144" s="7">
        <v>0.0</v>
      </c>
      <c r="BB144" s="7">
        <v>0.0</v>
      </c>
      <c r="BC144" s="7">
        <v>0.0</v>
      </c>
      <c r="BD144" s="7">
        <v>0.0</v>
      </c>
      <c r="BE144" s="7">
        <v>0.0</v>
      </c>
      <c r="BF144" s="7">
        <v>0.0</v>
      </c>
      <c r="BG144" s="7">
        <v>0.0</v>
      </c>
      <c r="BH144" s="7">
        <v>0.0</v>
      </c>
      <c r="BI144" s="7">
        <v>0.0</v>
      </c>
      <c r="BJ144" s="8">
        <v>0.0</v>
      </c>
    </row>
    <row r="145" ht="15.75" customHeight="1">
      <c r="A145" s="57" t="s">
        <v>125</v>
      </c>
      <c r="B145" s="58">
        <v>0.0</v>
      </c>
      <c r="C145" s="58">
        <v>0.0</v>
      </c>
      <c r="D145" s="58">
        <v>0.0</v>
      </c>
      <c r="E145" s="58">
        <v>0.0</v>
      </c>
      <c r="F145" s="58">
        <v>0.0</v>
      </c>
      <c r="G145" s="58">
        <v>0.0</v>
      </c>
      <c r="H145" s="58">
        <v>0.0</v>
      </c>
      <c r="I145" s="58">
        <v>0.0</v>
      </c>
      <c r="J145" s="58">
        <v>0.0</v>
      </c>
      <c r="K145" s="58">
        <v>0.0</v>
      </c>
      <c r="L145" s="58">
        <v>0.0</v>
      </c>
      <c r="M145" s="58">
        <v>0.0</v>
      </c>
      <c r="N145" s="58">
        <v>0.0</v>
      </c>
      <c r="O145" s="58">
        <v>0.0</v>
      </c>
      <c r="P145" s="58">
        <v>0.0</v>
      </c>
      <c r="Q145" s="58">
        <v>0.0</v>
      </c>
      <c r="R145" s="58">
        <v>0.0</v>
      </c>
      <c r="S145" s="58">
        <v>0.0</v>
      </c>
      <c r="T145" s="58">
        <v>0.0</v>
      </c>
      <c r="U145" s="58">
        <v>0.0</v>
      </c>
      <c r="V145" s="58">
        <v>0.0</v>
      </c>
      <c r="W145" s="58">
        <v>0.0</v>
      </c>
      <c r="X145" s="58">
        <v>0.0</v>
      </c>
      <c r="Y145" s="58">
        <v>0.0</v>
      </c>
      <c r="Z145" s="58">
        <v>0.0</v>
      </c>
      <c r="AA145" s="58">
        <v>0.0</v>
      </c>
      <c r="AB145" s="58">
        <v>0.0</v>
      </c>
      <c r="AC145" s="59">
        <v>0.0</v>
      </c>
      <c r="AD145" s="58">
        <v>0.0</v>
      </c>
      <c r="AE145" s="58">
        <v>0.0</v>
      </c>
      <c r="AF145" s="58">
        <v>0.0</v>
      </c>
      <c r="AG145" s="58">
        <v>0.0</v>
      </c>
      <c r="AH145" s="58">
        <v>0.0</v>
      </c>
      <c r="AI145" s="58">
        <v>0.0</v>
      </c>
      <c r="AJ145" s="58">
        <v>0.0</v>
      </c>
      <c r="AK145" s="58">
        <v>0.0</v>
      </c>
      <c r="AL145" s="58">
        <v>0.0</v>
      </c>
      <c r="AM145" s="58">
        <v>0.0</v>
      </c>
      <c r="AN145" s="58">
        <v>0.0</v>
      </c>
      <c r="AO145" s="58">
        <v>3.0</v>
      </c>
      <c r="AP145" s="45">
        <v>0.0</v>
      </c>
      <c r="AQ145" s="45">
        <v>0.0</v>
      </c>
      <c r="AR145" s="45">
        <v>0.0</v>
      </c>
      <c r="AS145" s="45">
        <v>0.0</v>
      </c>
      <c r="AT145" s="45">
        <v>0.0</v>
      </c>
      <c r="AU145" s="45">
        <v>0.0</v>
      </c>
      <c r="AV145" s="45">
        <v>0.0</v>
      </c>
      <c r="AW145" s="45">
        <v>0.0</v>
      </c>
      <c r="AX145" s="45">
        <v>0.0</v>
      </c>
      <c r="AY145" s="45">
        <v>0.0</v>
      </c>
      <c r="AZ145" s="45">
        <v>0.0</v>
      </c>
      <c r="BA145" s="45">
        <v>0.0</v>
      </c>
      <c r="BB145" s="45">
        <v>0.0</v>
      </c>
      <c r="BC145" s="45">
        <v>0.0</v>
      </c>
      <c r="BD145" s="45">
        <v>0.0</v>
      </c>
      <c r="BE145" s="45">
        <v>0.0</v>
      </c>
      <c r="BF145" s="45">
        <v>0.0</v>
      </c>
      <c r="BG145" s="45">
        <v>0.0</v>
      </c>
      <c r="BH145" s="45">
        <v>0.0</v>
      </c>
      <c r="BI145" s="45">
        <v>0.0</v>
      </c>
      <c r="BJ145" s="46">
        <v>0.0</v>
      </c>
    </row>
    <row r="146" ht="15.75" customHeight="1">
      <c r="A146" s="63" t="s">
        <v>60</v>
      </c>
      <c r="B146" s="54">
        <v>0.0</v>
      </c>
      <c r="C146" s="54">
        <v>0.0</v>
      </c>
      <c r="D146" s="54">
        <v>0.0</v>
      </c>
      <c r="E146" s="54">
        <v>0.0</v>
      </c>
      <c r="F146" s="54">
        <v>0.0</v>
      </c>
      <c r="G146" s="54">
        <v>0.0</v>
      </c>
      <c r="H146" s="54">
        <v>0.0</v>
      </c>
      <c r="I146" s="54">
        <v>0.0</v>
      </c>
      <c r="J146" s="54">
        <v>0.0</v>
      </c>
      <c r="K146" s="54">
        <v>0.0</v>
      </c>
      <c r="L146" s="54">
        <v>0.0</v>
      </c>
      <c r="M146" s="54">
        <v>0.0</v>
      </c>
      <c r="N146" s="54">
        <v>0.0</v>
      </c>
      <c r="O146" s="54">
        <v>0.0</v>
      </c>
      <c r="P146" s="54">
        <v>0.0</v>
      </c>
      <c r="Q146" s="54">
        <v>0.0</v>
      </c>
      <c r="R146" s="54">
        <v>0.0</v>
      </c>
      <c r="S146" s="54">
        <v>0.0</v>
      </c>
      <c r="T146" s="54">
        <v>0.0</v>
      </c>
      <c r="U146" s="54">
        <v>0.0</v>
      </c>
      <c r="V146" s="54">
        <v>0.0</v>
      </c>
      <c r="W146" s="54">
        <v>0.0</v>
      </c>
      <c r="X146" s="54">
        <v>0.0</v>
      </c>
      <c r="Y146" s="54">
        <v>0.0</v>
      </c>
      <c r="Z146" s="54">
        <v>0.0</v>
      </c>
      <c r="AA146" s="54">
        <v>0.0</v>
      </c>
      <c r="AB146" s="54">
        <v>0.0</v>
      </c>
      <c r="AC146" s="55">
        <v>0.0</v>
      </c>
      <c r="AD146" s="54">
        <v>3.0</v>
      </c>
      <c r="AE146" s="54">
        <v>2.0</v>
      </c>
      <c r="AF146" s="54">
        <v>9.0</v>
      </c>
      <c r="AG146" s="7">
        <v>0.0</v>
      </c>
      <c r="AH146" s="7">
        <v>0.0</v>
      </c>
      <c r="AI146" s="7">
        <v>0.0</v>
      </c>
      <c r="AJ146" s="7">
        <v>0.0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0.0</v>
      </c>
      <c r="AT146" s="7">
        <v>0.0</v>
      </c>
      <c r="AU146" s="7">
        <v>0.0</v>
      </c>
      <c r="AV146" s="7">
        <v>0.0</v>
      </c>
      <c r="AW146" s="7">
        <v>0.0</v>
      </c>
      <c r="AX146" s="7">
        <v>0.0</v>
      </c>
      <c r="AY146" s="7">
        <v>0.0</v>
      </c>
      <c r="AZ146" s="7">
        <v>0.0</v>
      </c>
      <c r="BA146" s="7">
        <v>0.0</v>
      </c>
      <c r="BB146" s="7">
        <v>0.0</v>
      </c>
      <c r="BC146" s="7">
        <v>0.0</v>
      </c>
      <c r="BD146" s="7">
        <v>0.0</v>
      </c>
      <c r="BE146" s="7">
        <v>0.0</v>
      </c>
      <c r="BF146" s="7">
        <v>0.0</v>
      </c>
      <c r="BG146" s="7">
        <v>0.0</v>
      </c>
      <c r="BH146" s="7">
        <v>0.0</v>
      </c>
      <c r="BI146" s="7">
        <v>0.0</v>
      </c>
      <c r="BJ146" s="8">
        <v>0.0</v>
      </c>
    </row>
    <row r="147" ht="15.75" customHeight="1">
      <c r="A147" s="64" t="s">
        <v>126</v>
      </c>
      <c r="B147" s="54">
        <v>0.0</v>
      </c>
      <c r="C147" s="54">
        <v>0.0</v>
      </c>
      <c r="D147" s="54">
        <v>0.0</v>
      </c>
      <c r="E147" s="54">
        <v>0.0</v>
      </c>
      <c r="F147" s="54">
        <v>0.0</v>
      </c>
      <c r="G147" s="54">
        <v>0.0</v>
      </c>
      <c r="H147" s="54">
        <v>0.0</v>
      </c>
      <c r="I147" s="54">
        <v>0.0</v>
      </c>
      <c r="J147" s="54">
        <v>0.0</v>
      </c>
      <c r="K147" s="54">
        <v>0.0</v>
      </c>
      <c r="L147" s="54">
        <v>0.0</v>
      </c>
      <c r="M147" s="54">
        <v>0.0</v>
      </c>
      <c r="N147" s="54">
        <v>0.0</v>
      </c>
      <c r="O147" s="54">
        <v>0.0</v>
      </c>
      <c r="P147" s="54">
        <v>0.0</v>
      </c>
      <c r="Q147" s="54">
        <v>0.0</v>
      </c>
      <c r="R147" s="54">
        <v>0.0</v>
      </c>
      <c r="S147" s="54">
        <v>0.0</v>
      </c>
      <c r="T147" s="54">
        <v>0.0</v>
      </c>
      <c r="U147" s="54">
        <v>0.0</v>
      </c>
      <c r="V147" s="54">
        <v>0.0</v>
      </c>
      <c r="W147" s="54">
        <v>0.0</v>
      </c>
      <c r="X147" s="54">
        <v>0.0</v>
      </c>
      <c r="Y147" s="54">
        <v>0.0</v>
      </c>
      <c r="Z147" s="54">
        <v>0.0</v>
      </c>
      <c r="AA147" s="54">
        <v>0.0</v>
      </c>
      <c r="AB147" s="54">
        <v>0.0</v>
      </c>
      <c r="AC147" s="55">
        <v>0.0</v>
      </c>
      <c r="AD147" s="54">
        <v>0.0</v>
      </c>
      <c r="AE147" s="54">
        <v>0.0</v>
      </c>
      <c r="AF147" s="54">
        <v>4.0</v>
      </c>
      <c r="AG147" s="54">
        <v>2.0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  <c r="AV147" s="7">
        <v>0.0</v>
      </c>
      <c r="AW147" s="7">
        <v>0.0</v>
      </c>
      <c r="AX147" s="7">
        <v>0.0</v>
      </c>
      <c r="AY147" s="7">
        <v>0.0</v>
      </c>
      <c r="AZ147" s="7">
        <v>0.0</v>
      </c>
      <c r="BA147" s="7">
        <v>0.0</v>
      </c>
      <c r="BB147" s="7">
        <v>0.0</v>
      </c>
      <c r="BC147" s="7">
        <v>0.0</v>
      </c>
      <c r="BD147" s="7">
        <v>0.0</v>
      </c>
      <c r="BE147" s="7">
        <v>0.0</v>
      </c>
      <c r="BF147" s="7">
        <v>0.0</v>
      </c>
      <c r="BG147" s="7">
        <v>0.0</v>
      </c>
      <c r="BH147" s="7">
        <v>0.0</v>
      </c>
      <c r="BI147" s="7">
        <v>0.0</v>
      </c>
      <c r="BJ147" s="8">
        <v>0.0</v>
      </c>
    </row>
    <row r="148" ht="15.75" customHeight="1">
      <c r="A148" s="64" t="s">
        <v>127</v>
      </c>
      <c r="B148" s="54">
        <v>0.0</v>
      </c>
      <c r="C148" s="54">
        <v>0.0</v>
      </c>
      <c r="D148" s="54">
        <v>0.0</v>
      </c>
      <c r="E148" s="54">
        <v>0.0</v>
      </c>
      <c r="F148" s="54">
        <v>0.0</v>
      </c>
      <c r="G148" s="54">
        <v>0.0</v>
      </c>
      <c r="H148" s="54">
        <v>0.0</v>
      </c>
      <c r="I148" s="54">
        <v>0.0</v>
      </c>
      <c r="J148" s="54">
        <v>0.0</v>
      </c>
      <c r="K148" s="54">
        <v>0.0</v>
      </c>
      <c r="L148" s="54">
        <v>0.0</v>
      </c>
      <c r="M148" s="54">
        <v>0.0</v>
      </c>
      <c r="N148" s="54">
        <v>0.0</v>
      </c>
      <c r="O148" s="54">
        <v>0.0</v>
      </c>
      <c r="P148" s="54">
        <v>0.0</v>
      </c>
      <c r="Q148" s="54">
        <v>0.0</v>
      </c>
      <c r="R148" s="54">
        <v>0.0</v>
      </c>
      <c r="S148" s="54">
        <v>0.0</v>
      </c>
      <c r="T148" s="54">
        <v>0.0</v>
      </c>
      <c r="U148" s="54">
        <v>0.0</v>
      </c>
      <c r="V148" s="54">
        <v>0.0</v>
      </c>
      <c r="W148" s="54">
        <v>0.0</v>
      </c>
      <c r="X148" s="54">
        <v>0.0</v>
      </c>
      <c r="Y148" s="54">
        <v>0.0</v>
      </c>
      <c r="Z148" s="54">
        <v>0.0</v>
      </c>
      <c r="AA148" s="54">
        <v>0.0</v>
      </c>
      <c r="AB148" s="54">
        <v>0.0</v>
      </c>
      <c r="AC148" s="55">
        <v>0.0</v>
      </c>
      <c r="AD148" s="54">
        <v>0.0</v>
      </c>
      <c r="AE148" s="54">
        <v>0.0</v>
      </c>
      <c r="AF148" s="54">
        <v>0.0</v>
      </c>
      <c r="AG148" s="54">
        <v>0.0</v>
      </c>
      <c r="AH148" s="54">
        <v>2.0</v>
      </c>
      <c r="AI148" s="54">
        <v>0.0</v>
      </c>
      <c r="AJ148" s="54">
        <v>0.0</v>
      </c>
      <c r="AK148" s="54">
        <v>1.0</v>
      </c>
      <c r="AL148" s="54">
        <v>3.0</v>
      </c>
      <c r="AM148" s="7">
        <v>0.0</v>
      </c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  <c r="AV148" s="7">
        <v>0.0</v>
      </c>
      <c r="AW148" s="7">
        <v>0.0</v>
      </c>
      <c r="AX148" s="7">
        <v>0.0</v>
      </c>
      <c r="AY148" s="7">
        <v>0.0</v>
      </c>
      <c r="AZ148" s="7">
        <v>0.0</v>
      </c>
      <c r="BA148" s="7">
        <v>0.0</v>
      </c>
      <c r="BB148" s="7">
        <v>0.0</v>
      </c>
      <c r="BC148" s="7">
        <v>0.0</v>
      </c>
      <c r="BD148" s="7">
        <v>0.0</v>
      </c>
      <c r="BE148" s="7">
        <v>0.0</v>
      </c>
      <c r="BF148" s="7">
        <v>0.0</v>
      </c>
      <c r="BG148" s="7">
        <v>0.0</v>
      </c>
      <c r="BH148" s="7">
        <v>0.0</v>
      </c>
      <c r="BI148" s="7">
        <v>0.0</v>
      </c>
      <c r="BJ148" s="8">
        <v>0.0</v>
      </c>
    </row>
    <row r="149" ht="15.75" customHeight="1">
      <c r="A149" s="64" t="s">
        <v>128</v>
      </c>
      <c r="B149" s="54">
        <v>0.0</v>
      </c>
      <c r="C149" s="54">
        <v>0.0</v>
      </c>
      <c r="D149" s="54">
        <v>0.0</v>
      </c>
      <c r="E149" s="54">
        <v>0.0</v>
      </c>
      <c r="F149" s="54">
        <v>0.0</v>
      </c>
      <c r="G149" s="54">
        <v>0.0</v>
      </c>
      <c r="H149" s="54">
        <v>0.0</v>
      </c>
      <c r="I149" s="54">
        <v>0.0</v>
      </c>
      <c r="J149" s="54">
        <v>0.0</v>
      </c>
      <c r="K149" s="54">
        <v>0.0</v>
      </c>
      <c r="L149" s="54">
        <v>0.0</v>
      </c>
      <c r="M149" s="54">
        <v>0.0</v>
      </c>
      <c r="N149" s="54">
        <v>0.0</v>
      </c>
      <c r="O149" s="54">
        <v>0.0</v>
      </c>
      <c r="P149" s="54">
        <v>0.0</v>
      </c>
      <c r="Q149" s="54">
        <v>0.0</v>
      </c>
      <c r="R149" s="54">
        <v>0.0</v>
      </c>
      <c r="S149" s="54">
        <v>0.0</v>
      </c>
      <c r="T149" s="54">
        <v>0.0</v>
      </c>
      <c r="U149" s="54">
        <v>0.0</v>
      </c>
      <c r="V149" s="54">
        <v>0.0</v>
      </c>
      <c r="W149" s="54">
        <v>0.0</v>
      </c>
      <c r="X149" s="54">
        <v>0.0</v>
      </c>
      <c r="Y149" s="54">
        <v>0.0</v>
      </c>
      <c r="Z149" s="54">
        <v>0.0</v>
      </c>
      <c r="AA149" s="54">
        <v>0.0</v>
      </c>
      <c r="AB149" s="54">
        <v>0.0</v>
      </c>
      <c r="AC149" s="55">
        <v>0.0</v>
      </c>
      <c r="AD149" s="54">
        <v>0.0</v>
      </c>
      <c r="AE149" s="54">
        <v>0.0</v>
      </c>
      <c r="AF149" s="54">
        <v>0.0</v>
      </c>
      <c r="AG149" s="54">
        <v>1.0</v>
      </c>
      <c r="AH149" s="54">
        <v>1.0</v>
      </c>
      <c r="AI149" s="54">
        <v>1.0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0.0</v>
      </c>
      <c r="AQ149" s="7">
        <v>0.0</v>
      </c>
      <c r="AR149" s="7">
        <v>0.0</v>
      </c>
      <c r="AS149" s="7">
        <v>0.0</v>
      </c>
      <c r="AT149" s="7">
        <v>0.0</v>
      </c>
      <c r="AU149" s="7">
        <v>0.0</v>
      </c>
      <c r="AV149" s="7">
        <v>0.0</v>
      </c>
      <c r="AW149" s="7">
        <v>0.0</v>
      </c>
      <c r="AX149" s="7">
        <v>0.0</v>
      </c>
      <c r="AY149" s="7">
        <v>0.0</v>
      </c>
      <c r="AZ149" s="7">
        <v>0.0</v>
      </c>
      <c r="BA149" s="7">
        <v>0.0</v>
      </c>
      <c r="BB149" s="7">
        <v>0.0</v>
      </c>
      <c r="BC149" s="7">
        <v>0.0</v>
      </c>
      <c r="BD149" s="7">
        <v>0.0</v>
      </c>
      <c r="BE149" s="7">
        <v>0.0</v>
      </c>
      <c r="BF149" s="7">
        <v>0.0</v>
      </c>
      <c r="BG149" s="7">
        <v>0.0</v>
      </c>
      <c r="BH149" s="7">
        <v>0.0</v>
      </c>
      <c r="BI149" s="7">
        <v>0.0</v>
      </c>
      <c r="BJ149" s="8">
        <v>0.0</v>
      </c>
    </row>
    <row r="150" ht="15.75" customHeight="1">
      <c r="A150" s="64" t="s">
        <v>129</v>
      </c>
      <c r="B150" s="54">
        <v>0.0</v>
      </c>
      <c r="C150" s="54">
        <v>0.0</v>
      </c>
      <c r="D150" s="54">
        <v>0.0</v>
      </c>
      <c r="E150" s="54">
        <v>0.0</v>
      </c>
      <c r="F150" s="54">
        <v>0.0</v>
      </c>
      <c r="G150" s="54">
        <v>0.0</v>
      </c>
      <c r="H150" s="54">
        <v>0.0</v>
      </c>
      <c r="I150" s="54">
        <v>0.0</v>
      </c>
      <c r="J150" s="54">
        <v>0.0</v>
      </c>
      <c r="K150" s="54">
        <v>0.0</v>
      </c>
      <c r="L150" s="54">
        <v>0.0</v>
      </c>
      <c r="M150" s="54">
        <v>0.0</v>
      </c>
      <c r="N150" s="54">
        <v>0.0</v>
      </c>
      <c r="O150" s="54">
        <v>0.0</v>
      </c>
      <c r="P150" s="54">
        <v>0.0</v>
      </c>
      <c r="Q150" s="54">
        <v>0.0</v>
      </c>
      <c r="R150" s="54">
        <v>0.0</v>
      </c>
      <c r="S150" s="54">
        <v>0.0</v>
      </c>
      <c r="T150" s="54">
        <v>0.0</v>
      </c>
      <c r="U150" s="54">
        <v>0.0</v>
      </c>
      <c r="V150" s="54">
        <v>0.0</v>
      </c>
      <c r="W150" s="54">
        <v>0.0</v>
      </c>
      <c r="X150" s="54">
        <v>0.0</v>
      </c>
      <c r="Y150" s="54">
        <v>0.0</v>
      </c>
      <c r="Z150" s="54">
        <v>0.0</v>
      </c>
      <c r="AA150" s="54">
        <v>0.0</v>
      </c>
      <c r="AB150" s="54">
        <v>0.0</v>
      </c>
      <c r="AC150" s="55">
        <v>0.0</v>
      </c>
      <c r="AD150" s="54">
        <v>0.0</v>
      </c>
      <c r="AE150" s="54">
        <v>0.0</v>
      </c>
      <c r="AF150" s="54">
        <v>0.0</v>
      </c>
      <c r="AG150" s="54">
        <v>0.0</v>
      </c>
      <c r="AH150" s="54">
        <v>1.0</v>
      </c>
      <c r="AI150" s="54">
        <v>0.0</v>
      </c>
      <c r="AJ150" s="54">
        <v>2.0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  <c r="AV150" s="7">
        <v>0.0</v>
      </c>
      <c r="AW150" s="7">
        <v>0.0</v>
      </c>
      <c r="AX150" s="7">
        <v>0.0</v>
      </c>
      <c r="AY150" s="7">
        <v>0.0</v>
      </c>
      <c r="AZ150" s="7">
        <v>0.0</v>
      </c>
      <c r="BA150" s="7">
        <v>0.0</v>
      </c>
      <c r="BB150" s="7">
        <v>0.0</v>
      </c>
      <c r="BC150" s="7">
        <v>0.0</v>
      </c>
      <c r="BD150" s="7">
        <v>0.0</v>
      </c>
      <c r="BE150" s="7">
        <v>0.0</v>
      </c>
      <c r="BF150" s="7">
        <v>0.0</v>
      </c>
      <c r="BG150" s="7">
        <v>0.0</v>
      </c>
      <c r="BH150" s="7">
        <v>0.0</v>
      </c>
      <c r="BI150" s="7">
        <v>0.0</v>
      </c>
      <c r="BJ150" s="8">
        <v>0.0</v>
      </c>
    </row>
    <row r="151" ht="15.75" customHeight="1">
      <c r="A151" s="65" t="s">
        <v>130</v>
      </c>
      <c r="B151" s="58">
        <v>0.0</v>
      </c>
      <c r="C151" s="58">
        <v>0.0</v>
      </c>
      <c r="D151" s="58">
        <v>0.0</v>
      </c>
      <c r="E151" s="58">
        <v>0.0</v>
      </c>
      <c r="F151" s="58">
        <v>0.0</v>
      </c>
      <c r="G151" s="58">
        <v>0.0</v>
      </c>
      <c r="H151" s="58">
        <v>0.0</v>
      </c>
      <c r="I151" s="58">
        <v>0.0</v>
      </c>
      <c r="J151" s="58">
        <v>0.0</v>
      </c>
      <c r="K151" s="58">
        <v>0.0</v>
      </c>
      <c r="L151" s="58">
        <v>0.0</v>
      </c>
      <c r="M151" s="58">
        <v>0.0</v>
      </c>
      <c r="N151" s="58">
        <v>0.0</v>
      </c>
      <c r="O151" s="58">
        <v>0.0</v>
      </c>
      <c r="P151" s="58">
        <v>0.0</v>
      </c>
      <c r="Q151" s="58">
        <v>0.0</v>
      </c>
      <c r="R151" s="58">
        <v>0.0</v>
      </c>
      <c r="S151" s="58">
        <v>0.0</v>
      </c>
      <c r="T151" s="58">
        <v>0.0</v>
      </c>
      <c r="U151" s="58">
        <v>0.0</v>
      </c>
      <c r="V151" s="58">
        <v>0.0</v>
      </c>
      <c r="W151" s="58">
        <v>0.0</v>
      </c>
      <c r="X151" s="58">
        <v>0.0</v>
      </c>
      <c r="Y151" s="58">
        <v>0.0</v>
      </c>
      <c r="Z151" s="58">
        <v>0.0</v>
      </c>
      <c r="AA151" s="58">
        <v>0.0</v>
      </c>
      <c r="AB151" s="58">
        <v>0.0</v>
      </c>
      <c r="AC151" s="59">
        <v>0.0</v>
      </c>
      <c r="AD151" s="58">
        <v>0.0</v>
      </c>
      <c r="AE151" s="58">
        <v>0.0</v>
      </c>
      <c r="AF151" s="58">
        <v>0.0</v>
      </c>
      <c r="AG151" s="58">
        <v>0.0</v>
      </c>
      <c r="AH151" s="58">
        <v>0.0</v>
      </c>
      <c r="AI151" s="58">
        <v>1.0</v>
      </c>
      <c r="AJ151" s="58">
        <v>2.0</v>
      </c>
      <c r="AK151" s="58">
        <v>2.0</v>
      </c>
      <c r="AL151" s="45">
        <v>0.0</v>
      </c>
      <c r="AM151" s="45">
        <v>0.0</v>
      </c>
      <c r="AN151" s="45">
        <v>0.0</v>
      </c>
      <c r="AO151" s="45">
        <v>0.0</v>
      </c>
      <c r="AP151" s="45">
        <v>0.0</v>
      </c>
      <c r="AQ151" s="45">
        <v>0.0</v>
      </c>
      <c r="AR151" s="45">
        <v>0.0</v>
      </c>
      <c r="AS151" s="45">
        <v>0.0</v>
      </c>
      <c r="AT151" s="45">
        <v>0.0</v>
      </c>
      <c r="AU151" s="45">
        <v>0.0</v>
      </c>
      <c r="AV151" s="45">
        <v>0.0</v>
      </c>
      <c r="AW151" s="45">
        <v>0.0</v>
      </c>
      <c r="AX151" s="45">
        <v>0.0</v>
      </c>
      <c r="AY151" s="45">
        <v>0.0</v>
      </c>
      <c r="AZ151" s="45">
        <v>0.0</v>
      </c>
      <c r="BA151" s="45">
        <v>0.0</v>
      </c>
      <c r="BB151" s="45">
        <v>0.0</v>
      </c>
      <c r="BC151" s="45">
        <v>0.0</v>
      </c>
      <c r="BD151" s="45">
        <v>0.0</v>
      </c>
      <c r="BE151" s="45">
        <v>0.0</v>
      </c>
      <c r="BF151" s="45">
        <v>0.0</v>
      </c>
      <c r="BG151" s="45">
        <v>0.0</v>
      </c>
      <c r="BH151" s="45">
        <v>0.0</v>
      </c>
      <c r="BI151" s="45">
        <v>0.0</v>
      </c>
      <c r="BJ151" s="46">
        <v>0.0</v>
      </c>
    </row>
    <row r="152" ht="15.75" customHeight="1">
      <c r="A152" s="66" t="s">
        <v>60</v>
      </c>
      <c r="B152" s="54">
        <v>0.0</v>
      </c>
      <c r="C152" s="54">
        <v>0.0</v>
      </c>
      <c r="D152" s="54">
        <v>0.0</v>
      </c>
      <c r="E152" s="54">
        <v>0.0</v>
      </c>
      <c r="F152" s="54">
        <v>0.0</v>
      </c>
      <c r="G152" s="54">
        <v>0.0</v>
      </c>
      <c r="H152" s="54">
        <v>0.0</v>
      </c>
      <c r="I152" s="54">
        <v>0.0</v>
      </c>
      <c r="J152" s="54">
        <v>0.0</v>
      </c>
      <c r="K152" s="54">
        <v>0.0</v>
      </c>
      <c r="L152" s="54">
        <v>0.0</v>
      </c>
      <c r="M152" s="54">
        <v>0.0</v>
      </c>
      <c r="N152" s="54">
        <v>0.0</v>
      </c>
      <c r="O152" s="54">
        <v>0.0</v>
      </c>
      <c r="P152" s="54">
        <v>0.0</v>
      </c>
      <c r="Q152" s="54">
        <v>0.0</v>
      </c>
      <c r="R152" s="54">
        <v>0.0</v>
      </c>
      <c r="S152" s="54">
        <v>0.0</v>
      </c>
      <c r="T152" s="54">
        <v>0.0</v>
      </c>
      <c r="U152" s="54">
        <v>0.0</v>
      </c>
      <c r="V152" s="54">
        <v>0.0</v>
      </c>
      <c r="W152" s="54">
        <v>0.0</v>
      </c>
      <c r="X152" s="54">
        <v>0.0</v>
      </c>
      <c r="Y152" s="54">
        <v>0.0</v>
      </c>
      <c r="Z152" s="54">
        <v>0.0</v>
      </c>
      <c r="AA152" s="54">
        <v>0.0</v>
      </c>
      <c r="AB152" s="54">
        <v>0.0</v>
      </c>
      <c r="AC152" s="55">
        <v>0.0</v>
      </c>
      <c r="AD152" s="54">
        <v>2.0</v>
      </c>
      <c r="AE152" s="54">
        <v>5.0</v>
      </c>
      <c r="AF152" s="54">
        <v>1.0</v>
      </c>
      <c r="AG152" s="7">
        <v>0.0</v>
      </c>
      <c r="AH152" s="7">
        <v>0.0</v>
      </c>
      <c r="AI152" s="7">
        <v>0.0</v>
      </c>
      <c r="AJ152" s="7">
        <v>0.0</v>
      </c>
      <c r="AK152" s="7">
        <v>0.0</v>
      </c>
      <c r="AL152" s="7">
        <v>0.0</v>
      </c>
      <c r="AM152" s="7">
        <v>0.0</v>
      </c>
      <c r="AN152" s="7">
        <v>0.0</v>
      </c>
      <c r="AO152" s="7">
        <v>0.0</v>
      </c>
      <c r="AP152" s="7">
        <v>0.0</v>
      </c>
      <c r="AQ152" s="7">
        <v>0.0</v>
      </c>
      <c r="AR152" s="7">
        <v>0.0</v>
      </c>
      <c r="AS152" s="7">
        <v>0.0</v>
      </c>
      <c r="AT152" s="7">
        <v>0.0</v>
      </c>
      <c r="AU152" s="7">
        <v>0.0</v>
      </c>
      <c r="AV152" s="7">
        <v>0.0</v>
      </c>
      <c r="AW152" s="7">
        <v>0.0</v>
      </c>
      <c r="AX152" s="7">
        <v>0.0</v>
      </c>
      <c r="AY152" s="7">
        <v>0.0</v>
      </c>
      <c r="AZ152" s="7">
        <v>0.0</v>
      </c>
      <c r="BA152" s="7">
        <v>0.0</v>
      </c>
      <c r="BB152" s="7">
        <v>0.0</v>
      </c>
      <c r="BC152" s="7">
        <v>0.0</v>
      </c>
      <c r="BD152" s="7">
        <v>0.0</v>
      </c>
      <c r="BE152" s="7">
        <v>0.0</v>
      </c>
      <c r="BF152" s="7">
        <v>0.0</v>
      </c>
      <c r="BG152" s="7">
        <v>0.0</v>
      </c>
      <c r="BH152" s="7">
        <v>0.0</v>
      </c>
      <c r="BI152" s="7">
        <v>0.0</v>
      </c>
      <c r="BJ152" s="8">
        <v>0.0</v>
      </c>
    </row>
    <row r="153" ht="15.75" customHeight="1">
      <c r="A153" s="67" t="s">
        <v>131</v>
      </c>
      <c r="B153" s="54">
        <v>0.0</v>
      </c>
      <c r="C153" s="54">
        <v>0.0</v>
      </c>
      <c r="D153" s="54">
        <v>0.0</v>
      </c>
      <c r="E153" s="54">
        <v>0.0</v>
      </c>
      <c r="F153" s="54">
        <v>0.0</v>
      </c>
      <c r="G153" s="54">
        <v>0.0</v>
      </c>
      <c r="H153" s="54">
        <v>0.0</v>
      </c>
      <c r="I153" s="54">
        <v>0.0</v>
      </c>
      <c r="J153" s="54">
        <v>0.0</v>
      </c>
      <c r="K153" s="54">
        <v>0.0</v>
      </c>
      <c r="L153" s="54">
        <v>0.0</v>
      </c>
      <c r="M153" s="54">
        <v>0.0</v>
      </c>
      <c r="N153" s="54">
        <v>0.0</v>
      </c>
      <c r="O153" s="54">
        <v>0.0</v>
      </c>
      <c r="P153" s="54">
        <v>0.0</v>
      </c>
      <c r="Q153" s="54">
        <v>0.0</v>
      </c>
      <c r="R153" s="54">
        <v>0.0</v>
      </c>
      <c r="S153" s="54">
        <v>0.0</v>
      </c>
      <c r="T153" s="54">
        <v>0.0</v>
      </c>
      <c r="U153" s="54">
        <v>0.0</v>
      </c>
      <c r="V153" s="54">
        <v>0.0</v>
      </c>
      <c r="W153" s="54">
        <v>0.0</v>
      </c>
      <c r="X153" s="54">
        <v>0.0</v>
      </c>
      <c r="Y153" s="54">
        <v>0.0</v>
      </c>
      <c r="Z153" s="54">
        <v>0.0</v>
      </c>
      <c r="AA153" s="54">
        <v>0.0</v>
      </c>
      <c r="AB153" s="54">
        <v>0.0</v>
      </c>
      <c r="AC153" s="55">
        <v>0.0</v>
      </c>
      <c r="AD153" s="54">
        <v>0.0</v>
      </c>
      <c r="AE153" s="54">
        <v>0.0</v>
      </c>
      <c r="AF153" s="54">
        <v>0.0</v>
      </c>
      <c r="AG153" s="54">
        <v>1.0</v>
      </c>
      <c r="AH153" s="54">
        <v>1.0</v>
      </c>
      <c r="AI153" s="54">
        <v>1.0</v>
      </c>
      <c r="AJ153" s="54">
        <v>2.0</v>
      </c>
      <c r="AK153" s="54">
        <v>1.0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  <c r="AV153" s="7">
        <v>0.0</v>
      </c>
      <c r="AW153" s="7">
        <v>0.0</v>
      </c>
      <c r="AX153" s="7">
        <v>0.0</v>
      </c>
      <c r="AY153" s="7">
        <v>0.0</v>
      </c>
      <c r="AZ153" s="7">
        <v>0.0</v>
      </c>
      <c r="BA153" s="7">
        <v>0.0</v>
      </c>
      <c r="BB153" s="7">
        <v>0.0</v>
      </c>
      <c r="BC153" s="7">
        <v>0.0</v>
      </c>
      <c r="BD153" s="7">
        <v>0.0</v>
      </c>
      <c r="BE153" s="7">
        <v>0.0</v>
      </c>
      <c r="BF153" s="7">
        <v>0.0</v>
      </c>
      <c r="BG153" s="7">
        <v>0.0</v>
      </c>
      <c r="BH153" s="7">
        <v>0.0</v>
      </c>
      <c r="BI153" s="7">
        <v>0.0</v>
      </c>
      <c r="BJ153" s="8">
        <v>0.0</v>
      </c>
    </row>
    <row r="154" ht="15.75" customHeight="1">
      <c r="A154" s="67" t="s">
        <v>132</v>
      </c>
      <c r="B154" s="54">
        <v>0.0</v>
      </c>
      <c r="C154" s="54">
        <v>0.0</v>
      </c>
      <c r="D154" s="54">
        <v>0.0</v>
      </c>
      <c r="E154" s="54">
        <v>0.0</v>
      </c>
      <c r="F154" s="54">
        <v>0.0</v>
      </c>
      <c r="G154" s="54">
        <v>0.0</v>
      </c>
      <c r="H154" s="54">
        <v>0.0</v>
      </c>
      <c r="I154" s="54">
        <v>0.0</v>
      </c>
      <c r="J154" s="54">
        <v>0.0</v>
      </c>
      <c r="K154" s="54">
        <v>0.0</v>
      </c>
      <c r="L154" s="54">
        <v>0.0</v>
      </c>
      <c r="M154" s="54">
        <v>0.0</v>
      </c>
      <c r="N154" s="54">
        <v>0.0</v>
      </c>
      <c r="O154" s="54">
        <v>0.0</v>
      </c>
      <c r="P154" s="54">
        <v>0.0</v>
      </c>
      <c r="Q154" s="54">
        <v>0.0</v>
      </c>
      <c r="R154" s="54">
        <v>0.0</v>
      </c>
      <c r="S154" s="54">
        <v>0.0</v>
      </c>
      <c r="T154" s="54">
        <v>0.0</v>
      </c>
      <c r="U154" s="54">
        <v>0.0</v>
      </c>
      <c r="V154" s="54">
        <v>0.0</v>
      </c>
      <c r="W154" s="54">
        <v>0.0</v>
      </c>
      <c r="X154" s="54">
        <v>0.0</v>
      </c>
      <c r="Y154" s="54">
        <v>0.0</v>
      </c>
      <c r="Z154" s="54">
        <v>0.0</v>
      </c>
      <c r="AA154" s="54">
        <v>0.0</v>
      </c>
      <c r="AB154" s="54">
        <v>0.0</v>
      </c>
      <c r="AC154" s="55">
        <v>0.0</v>
      </c>
      <c r="AD154" s="54">
        <v>0.0</v>
      </c>
      <c r="AE154" s="54">
        <v>0.0</v>
      </c>
      <c r="AF154" s="54">
        <v>0.0</v>
      </c>
      <c r="AG154" s="54">
        <v>0.0</v>
      </c>
      <c r="AH154" s="54">
        <v>1.0</v>
      </c>
      <c r="AI154" s="54">
        <v>0.0</v>
      </c>
      <c r="AJ154" s="54">
        <v>0.0</v>
      </c>
      <c r="AK154" s="54">
        <v>0.0</v>
      </c>
      <c r="AL154" s="54">
        <v>1.0</v>
      </c>
      <c r="AM154" s="54">
        <v>0.0</v>
      </c>
      <c r="AN154" s="54">
        <v>0.0</v>
      </c>
      <c r="AO154" s="54">
        <v>0.0</v>
      </c>
      <c r="AP154" s="54">
        <v>2.0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  <c r="AV154" s="7">
        <v>0.0</v>
      </c>
      <c r="AW154" s="7">
        <v>0.0</v>
      </c>
      <c r="AX154" s="7">
        <v>0.0</v>
      </c>
      <c r="AY154" s="7">
        <v>0.0</v>
      </c>
      <c r="AZ154" s="7">
        <v>0.0</v>
      </c>
      <c r="BA154" s="7">
        <v>0.0</v>
      </c>
      <c r="BB154" s="7">
        <v>0.0</v>
      </c>
      <c r="BC154" s="7">
        <v>0.0</v>
      </c>
      <c r="BD154" s="7">
        <v>0.0</v>
      </c>
      <c r="BE154" s="7">
        <v>0.0</v>
      </c>
      <c r="BF154" s="7">
        <v>0.0</v>
      </c>
      <c r="BG154" s="7">
        <v>0.0</v>
      </c>
      <c r="BH154" s="7">
        <v>0.0</v>
      </c>
      <c r="BI154" s="7">
        <v>0.0</v>
      </c>
      <c r="BJ154" s="8">
        <v>0.0</v>
      </c>
    </row>
    <row r="155" ht="15.75" customHeight="1">
      <c r="A155" s="67" t="s">
        <v>133</v>
      </c>
      <c r="B155" s="54">
        <v>0.0</v>
      </c>
      <c r="C155" s="54">
        <v>0.0</v>
      </c>
      <c r="D155" s="54">
        <v>0.0</v>
      </c>
      <c r="E155" s="54">
        <v>0.0</v>
      </c>
      <c r="F155" s="54">
        <v>0.0</v>
      </c>
      <c r="G155" s="54">
        <v>0.0</v>
      </c>
      <c r="H155" s="54">
        <v>0.0</v>
      </c>
      <c r="I155" s="54">
        <v>0.0</v>
      </c>
      <c r="J155" s="54">
        <v>0.0</v>
      </c>
      <c r="K155" s="54">
        <v>0.0</v>
      </c>
      <c r="L155" s="54">
        <v>0.0</v>
      </c>
      <c r="M155" s="54">
        <v>0.0</v>
      </c>
      <c r="N155" s="54">
        <v>0.0</v>
      </c>
      <c r="O155" s="54">
        <v>0.0</v>
      </c>
      <c r="P155" s="54">
        <v>0.0</v>
      </c>
      <c r="Q155" s="54">
        <v>0.0</v>
      </c>
      <c r="R155" s="54">
        <v>0.0</v>
      </c>
      <c r="S155" s="54">
        <v>0.0</v>
      </c>
      <c r="T155" s="54">
        <v>0.0</v>
      </c>
      <c r="U155" s="54">
        <v>0.0</v>
      </c>
      <c r="V155" s="54">
        <v>0.0</v>
      </c>
      <c r="W155" s="54">
        <v>0.0</v>
      </c>
      <c r="X155" s="54">
        <v>0.0</v>
      </c>
      <c r="Y155" s="54">
        <v>0.0</v>
      </c>
      <c r="Z155" s="54">
        <v>0.0</v>
      </c>
      <c r="AA155" s="54">
        <v>0.0</v>
      </c>
      <c r="AB155" s="54">
        <v>0.0</v>
      </c>
      <c r="AC155" s="55">
        <v>0.0</v>
      </c>
      <c r="AD155" s="54">
        <v>0.0</v>
      </c>
      <c r="AE155" s="54">
        <v>0.0</v>
      </c>
      <c r="AF155" s="54">
        <v>0.0</v>
      </c>
      <c r="AG155" s="54">
        <v>0.0</v>
      </c>
      <c r="AH155" s="54">
        <v>0.0</v>
      </c>
      <c r="AI155" s="54">
        <v>1.0</v>
      </c>
      <c r="AJ155" s="54">
        <v>0.0</v>
      </c>
      <c r="AK155" s="54">
        <v>0.0</v>
      </c>
      <c r="AL155" s="54">
        <v>0.0</v>
      </c>
      <c r="AM155" s="54">
        <v>1.0</v>
      </c>
      <c r="AN155" s="54">
        <v>0.0</v>
      </c>
      <c r="AO155" s="54">
        <v>1.0</v>
      </c>
      <c r="AP155" s="54">
        <v>0.0</v>
      </c>
      <c r="AQ155" s="54">
        <v>1.0</v>
      </c>
      <c r="AR155" s="7">
        <v>0.0</v>
      </c>
      <c r="AS155" s="7">
        <v>0.0</v>
      </c>
      <c r="AT155" s="7">
        <v>0.0</v>
      </c>
      <c r="AU155" s="7">
        <v>0.0</v>
      </c>
      <c r="AV155" s="7">
        <v>0.0</v>
      </c>
      <c r="AW155" s="7">
        <v>0.0</v>
      </c>
      <c r="AX155" s="7">
        <v>0.0</v>
      </c>
      <c r="AY155" s="7">
        <v>0.0</v>
      </c>
      <c r="AZ155" s="7">
        <v>0.0</v>
      </c>
      <c r="BA155" s="7">
        <v>0.0</v>
      </c>
      <c r="BB155" s="7">
        <v>0.0</v>
      </c>
      <c r="BC155" s="7">
        <v>0.0</v>
      </c>
      <c r="BD155" s="7">
        <v>0.0</v>
      </c>
      <c r="BE155" s="7">
        <v>0.0</v>
      </c>
      <c r="BF155" s="7">
        <v>0.0</v>
      </c>
      <c r="BG155" s="7">
        <v>0.0</v>
      </c>
      <c r="BH155" s="7">
        <v>0.0</v>
      </c>
      <c r="BI155" s="7">
        <v>0.0</v>
      </c>
      <c r="BJ155" s="8">
        <v>0.0</v>
      </c>
    </row>
    <row r="156" ht="15.75" customHeight="1">
      <c r="A156" s="68" t="s">
        <v>134</v>
      </c>
      <c r="B156" s="58">
        <v>0.0</v>
      </c>
      <c r="C156" s="58">
        <v>0.0</v>
      </c>
      <c r="D156" s="58">
        <v>0.0</v>
      </c>
      <c r="E156" s="58">
        <v>0.0</v>
      </c>
      <c r="F156" s="58">
        <v>0.0</v>
      </c>
      <c r="G156" s="58">
        <v>0.0</v>
      </c>
      <c r="H156" s="58">
        <v>0.0</v>
      </c>
      <c r="I156" s="58">
        <v>0.0</v>
      </c>
      <c r="J156" s="58">
        <v>0.0</v>
      </c>
      <c r="K156" s="58">
        <v>0.0</v>
      </c>
      <c r="L156" s="58">
        <v>0.0</v>
      </c>
      <c r="M156" s="58">
        <v>0.0</v>
      </c>
      <c r="N156" s="58">
        <v>0.0</v>
      </c>
      <c r="O156" s="58">
        <v>0.0</v>
      </c>
      <c r="P156" s="58">
        <v>0.0</v>
      </c>
      <c r="Q156" s="58">
        <v>0.0</v>
      </c>
      <c r="R156" s="58">
        <v>0.0</v>
      </c>
      <c r="S156" s="58">
        <v>0.0</v>
      </c>
      <c r="T156" s="58">
        <v>0.0</v>
      </c>
      <c r="U156" s="58">
        <v>0.0</v>
      </c>
      <c r="V156" s="58">
        <v>0.0</v>
      </c>
      <c r="W156" s="58">
        <v>0.0</v>
      </c>
      <c r="X156" s="58">
        <v>0.0</v>
      </c>
      <c r="Y156" s="58">
        <v>0.0</v>
      </c>
      <c r="Z156" s="58">
        <v>0.0</v>
      </c>
      <c r="AA156" s="58">
        <v>0.0</v>
      </c>
      <c r="AB156" s="58">
        <v>0.0</v>
      </c>
      <c r="AC156" s="59">
        <v>0.0</v>
      </c>
      <c r="AD156" s="58">
        <v>0.0</v>
      </c>
      <c r="AE156" s="58">
        <v>0.0</v>
      </c>
      <c r="AF156" s="58">
        <v>0.0</v>
      </c>
      <c r="AG156" s="58">
        <v>0.0</v>
      </c>
      <c r="AH156" s="58">
        <v>0.0</v>
      </c>
      <c r="AI156" s="58">
        <v>0.0</v>
      </c>
      <c r="AJ156" s="58">
        <v>0.0</v>
      </c>
      <c r="AK156" s="58">
        <v>0.0</v>
      </c>
      <c r="AL156" s="58">
        <v>0.0</v>
      </c>
      <c r="AM156" s="58">
        <v>0.0</v>
      </c>
      <c r="AN156" s="58">
        <v>0.0</v>
      </c>
      <c r="AO156" s="58">
        <v>0.0</v>
      </c>
      <c r="AP156" s="58">
        <v>0.0</v>
      </c>
      <c r="AQ156" s="58">
        <v>0.0</v>
      </c>
      <c r="AR156" s="58">
        <v>1.0</v>
      </c>
      <c r="AS156" s="45">
        <v>0.0</v>
      </c>
      <c r="AT156" s="45">
        <v>0.0</v>
      </c>
      <c r="AU156" s="45">
        <v>0.0</v>
      </c>
      <c r="AV156" s="45">
        <v>0.0</v>
      </c>
      <c r="AW156" s="45">
        <v>0.0</v>
      </c>
      <c r="AX156" s="45">
        <v>0.0</v>
      </c>
      <c r="AY156" s="45">
        <v>0.0</v>
      </c>
      <c r="AZ156" s="45">
        <v>0.0</v>
      </c>
      <c r="BA156" s="45">
        <v>0.0</v>
      </c>
      <c r="BB156" s="45">
        <v>0.0</v>
      </c>
      <c r="BC156" s="45">
        <v>0.0</v>
      </c>
      <c r="BD156" s="45">
        <v>0.0</v>
      </c>
      <c r="BE156" s="45">
        <v>0.0</v>
      </c>
      <c r="BF156" s="45">
        <v>0.0</v>
      </c>
      <c r="BG156" s="45">
        <v>0.0</v>
      </c>
      <c r="BH156" s="45">
        <v>0.0</v>
      </c>
      <c r="BI156" s="45">
        <v>0.0</v>
      </c>
      <c r="BJ156" s="46">
        <v>0.0</v>
      </c>
    </row>
    <row r="157" ht="15.75" customHeight="1">
      <c r="A157" s="69" t="s">
        <v>135</v>
      </c>
      <c r="B157" s="54">
        <v>0.0</v>
      </c>
      <c r="C157" s="54">
        <v>0.0</v>
      </c>
      <c r="D157" s="54">
        <v>0.0</v>
      </c>
      <c r="E157" s="54">
        <v>0.0</v>
      </c>
      <c r="F157" s="54">
        <v>0.0</v>
      </c>
      <c r="G157" s="54">
        <v>0.0</v>
      </c>
      <c r="H157" s="54">
        <v>0.0</v>
      </c>
      <c r="I157" s="54">
        <v>0.0</v>
      </c>
      <c r="J157" s="54">
        <v>0.0</v>
      </c>
      <c r="K157" s="54">
        <v>0.0</v>
      </c>
      <c r="L157" s="54">
        <v>0.0</v>
      </c>
      <c r="M157" s="54">
        <v>0.0</v>
      </c>
      <c r="N157" s="54">
        <v>0.0</v>
      </c>
      <c r="O157" s="54">
        <v>0.0</v>
      </c>
      <c r="P157" s="54">
        <v>0.0</v>
      </c>
      <c r="Q157" s="54">
        <v>0.0</v>
      </c>
      <c r="R157" s="54">
        <v>0.0</v>
      </c>
      <c r="S157" s="54">
        <v>0.0</v>
      </c>
      <c r="T157" s="54">
        <v>0.0</v>
      </c>
      <c r="U157" s="54">
        <v>0.0</v>
      </c>
      <c r="V157" s="54">
        <v>0.0</v>
      </c>
      <c r="W157" s="54">
        <v>0.0</v>
      </c>
      <c r="X157" s="54">
        <v>0.0</v>
      </c>
      <c r="Y157" s="54">
        <v>0.0</v>
      </c>
      <c r="Z157" s="54">
        <v>0.0</v>
      </c>
      <c r="AA157" s="54">
        <v>0.0</v>
      </c>
      <c r="AB157" s="54">
        <v>0.0</v>
      </c>
      <c r="AC157" s="55">
        <v>0.0</v>
      </c>
      <c r="AD157" s="54">
        <v>4.0</v>
      </c>
      <c r="AE157" s="54">
        <v>1.0</v>
      </c>
      <c r="AF157" s="54">
        <v>3.0</v>
      </c>
      <c r="AG157" s="7">
        <v>0.0</v>
      </c>
      <c r="AH157" s="7">
        <v>0.0</v>
      </c>
      <c r="AI157" s="7">
        <v>0.0</v>
      </c>
      <c r="AJ157" s="7">
        <v>0.0</v>
      </c>
      <c r="AK157" s="7">
        <v>0.0</v>
      </c>
      <c r="AL157" s="7">
        <v>0.0</v>
      </c>
      <c r="AM157" s="7">
        <v>0.0</v>
      </c>
      <c r="AN157" s="7">
        <v>0.0</v>
      </c>
      <c r="AO157" s="7">
        <v>0.0</v>
      </c>
      <c r="AP157" s="7">
        <v>0.0</v>
      </c>
      <c r="AQ157" s="7">
        <v>0.0</v>
      </c>
      <c r="AR157" s="7">
        <v>0.0</v>
      </c>
      <c r="AS157" s="7">
        <v>0.0</v>
      </c>
      <c r="AT157" s="7">
        <v>0.0</v>
      </c>
      <c r="AU157" s="7">
        <v>0.0</v>
      </c>
      <c r="AV157" s="7">
        <v>0.0</v>
      </c>
      <c r="AW157" s="7">
        <v>0.0</v>
      </c>
      <c r="AX157" s="7">
        <v>0.0</v>
      </c>
      <c r="AY157" s="7">
        <v>0.0</v>
      </c>
      <c r="AZ157" s="7">
        <v>0.0</v>
      </c>
      <c r="BA157" s="7">
        <v>0.0</v>
      </c>
      <c r="BB157" s="7">
        <v>0.0</v>
      </c>
      <c r="BC157" s="7">
        <v>0.0</v>
      </c>
      <c r="BD157" s="7">
        <v>0.0</v>
      </c>
      <c r="BE157" s="7">
        <v>0.0</v>
      </c>
      <c r="BF157" s="7">
        <v>0.0</v>
      </c>
      <c r="BG157" s="7">
        <v>0.0</v>
      </c>
      <c r="BH157" s="7">
        <v>0.0</v>
      </c>
      <c r="BI157" s="7">
        <v>0.0</v>
      </c>
      <c r="BJ157" s="8">
        <v>0.0</v>
      </c>
    </row>
    <row r="158" ht="15.75" customHeight="1">
      <c r="A158" s="70" t="s">
        <v>136</v>
      </c>
      <c r="B158" s="54">
        <v>0.0</v>
      </c>
      <c r="C158" s="54">
        <v>0.0</v>
      </c>
      <c r="D158" s="54">
        <v>0.0</v>
      </c>
      <c r="E158" s="54">
        <v>0.0</v>
      </c>
      <c r="F158" s="54">
        <v>0.0</v>
      </c>
      <c r="G158" s="54">
        <v>0.0</v>
      </c>
      <c r="H158" s="54">
        <v>0.0</v>
      </c>
      <c r="I158" s="54">
        <v>0.0</v>
      </c>
      <c r="J158" s="54">
        <v>0.0</v>
      </c>
      <c r="K158" s="54">
        <v>0.0</v>
      </c>
      <c r="L158" s="54">
        <v>0.0</v>
      </c>
      <c r="M158" s="54">
        <v>0.0</v>
      </c>
      <c r="N158" s="54">
        <v>0.0</v>
      </c>
      <c r="O158" s="54">
        <v>0.0</v>
      </c>
      <c r="P158" s="54">
        <v>0.0</v>
      </c>
      <c r="Q158" s="54">
        <v>0.0</v>
      </c>
      <c r="R158" s="54">
        <v>0.0</v>
      </c>
      <c r="S158" s="54">
        <v>0.0</v>
      </c>
      <c r="T158" s="54">
        <v>0.0</v>
      </c>
      <c r="U158" s="54">
        <v>0.0</v>
      </c>
      <c r="V158" s="54">
        <v>0.0</v>
      </c>
      <c r="W158" s="54">
        <v>0.0</v>
      </c>
      <c r="X158" s="54">
        <v>0.0</v>
      </c>
      <c r="Y158" s="54">
        <v>0.0</v>
      </c>
      <c r="Z158" s="54">
        <v>0.0</v>
      </c>
      <c r="AA158" s="54">
        <v>0.0</v>
      </c>
      <c r="AB158" s="54">
        <v>0.0</v>
      </c>
      <c r="AC158" s="55">
        <v>0.0</v>
      </c>
      <c r="AD158" s="54">
        <v>0.0</v>
      </c>
      <c r="AE158" s="54">
        <v>0.0</v>
      </c>
      <c r="AF158" s="54">
        <v>0.0</v>
      </c>
      <c r="AG158" s="54">
        <v>0.0</v>
      </c>
      <c r="AH158" s="54">
        <v>1.0</v>
      </c>
      <c r="AI158" s="54">
        <v>2.0</v>
      </c>
      <c r="AJ158" s="54">
        <v>1.0</v>
      </c>
      <c r="AK158" s="54">
        <v>1.0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  <c r="AV158" s="7">
        <v>0.0</v>
      </c>
      <c r="AW158" s="7">
        <v>0.0</v>
      </c>
      <c r="AX158" s="7">
        <v>0.0</v>
      </c>
      <c r="AY158" s="7">
        <v>0.0</v>
      </c>
      <c r="AZ158" s="7">
        <v>0.0</v>
      </c>
      <c r="BA158" s="7">
        <v>0.0</v>
      </c>
      <c r="BB158" s="7">
        <v>0.0</v>
      </c>
      <c r="BC158" s="7">
        <v>0.0</v>
      </c>
      <c r="BD158" s="7">
        <v>0.0</v>
      </c>
      <c r="BE158" s="7">
        <v>0.0</v>
      </c>
      <c r="BF158" s="7">
        <v>0.0</v>
      </c>
      <c r="BG158" s="7">
        <v>0.0</v>
      </c>
      <c r="BH158" s="7">
        <v>0.0</v>
      </c>
      <c r="BI158" s="7">
        <v>0.0</v>
      </c>
      <c r="BJ158" s="8">
        <v>0.0</v>
      </c>
    </row>
    <row r="159" ht="15.75" customHeight="1">
      <c r="A159" s="70" t="s">
        <v>137</v>
      </c>
      <c r="B159" s="54">
        <v>0.0</v>
      </c>
      <c r="C159" s="54">
        <v>0.0</v>
      </c>
      <c r="D159" s="54">
        <v>0.0</v>
      </c>
      <c r="E159" s="54">
        <v>0.0</v>
      </c>
      <c r="F159" s="54">
        <v>0.0</v>
      </c>
      <c r="G159" s="54">
        <v>0.0</v>
      </c>
      <c r="H159" s="54">
        <v>0.0</v>
      </c>
      <c r="I159" s="54">
        <v>0.0</v>
      </c>
      <c r="J159" s="54">
        <v>0.0</v>
      </c>
      <c r="K159" s="54">
        <v>0.0</v>
      </c>
      <c r="L159" s="54">
        <v>0.0</v>
      </c>
      <c r="M159" s="54">
        <v>0.0</v>
      </c>
      <c r="N159" s="54">
        <v>0.0</v>
      </c>
      <c r="O159" s="54">
        <v>0.0</v>
      </c>
      <c r="P159" s="54">
        <v>0.0</v>
      </c>
      <c r="Q159" s="54">
        <v>0.0</v>
      </c>
      <c r="R159" s="54">
        <v>0.0</v>
      </c>
      <c r="S159" s="54">
        <v>0.0</v>
      </c>
      <c r="T159" s="54">
        <v>0.0</v>
      </c>
      <c r="U159" s="54">
        <v>0.0</v>
      </c>
      <c r="V159" s="54">
        <v>0.0</v>
      </c>
      <c r="W159" s="54">
        <v>0.0</v>
      </c>
      <c r="X159" s="54">
        <v>0.0</v>
      </c>
      <c r="Y159" s="54">
        <v>0.0</v>
      </c>
      <c r="Z159" s="54">
        <v>0.0</v>
      </c>
      <c r="AA159" s="54">
        <v>0.0</v>
      </c>
      <c r="AB159" s="54">
        <v>0.0</v>
      </c>
      <c r="AC159" s="55">
        <v>0.0</v>
      </c>
      <c r="AD159" s="54">
        <v>0.0</v>
      </c>
      <c r="AE159" s="54">
        <v>0.0</v>
      </c>
      <c r="AF159" s="54">
        <v>0.0</v>
      </c>
      <c r="AG159" s="54">
        <v>0.0</v>
      </c>
      <c r="AH159" s="54">
        <v>0.0</v>
      </c>
      <c r="AI159" s="54">
        <v>1.0</v>
      </c>
      <c r="AJ159" s="54">
        <v>2.0</v>
      </c>
      <c r="AK159" s="54">
        <v>1.0</v>
      </c>
      <c r="AL159" s="54">
        <v>3.0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  <c r="AV159" s="7">
        <v>0.0</v>
      </c>
      <c r="AW159" s="7">
        <v>0.0</v>
      </c>
      <c r="AX159" s="7">
        <v>0.0</v>
      </c>
      <c r="AY159" s="7">
        <v>0.0</v>
      </c>
      <c r="AZ159" s="7">
        <v>0.0</v>
      </c>
      <c r="BA159" s="7">
        <v>0.0</v>
      </c>
      <c r="BB159" s="7">
        <v>0.0</v>
      </c>
      <c r="BC159" s="7">
        <v>0.0</v>
      </c>
      <c r="BD159" s="7">
        <v>0.0</v>
      </c>
      <c r="BE159" s="7">
        <v>0.0</v>
      </c>
      <c r="BF159" s="7">
        <v>0.0</v>
      </c>
      <c r="BG159" s="7">
        <v>0.0</v>
      </c>
      <c r="BH159" s="7">
        <v>0.0</v>
      </c>
      <c r="BI159" s="7">
        <v>0.0</v>
      </c>
      <c r="BJ159" s="8">
        <v>0.0</v>
      </c>
    </row>
    <row r="160" ht="15.75" customHeight="1">
      <c r="A160" s="70" t="s">
        <v>138</v>
      </c>
      <c r="B160" s="54">
        <v>0.0</v>
      </c>
      <c r="C160" s="54">
        <v>0.0</v>
      </c>
      <c r="D160" s="54">
        <v>0.0</v>
      </c>
      <c r="E160" s="54">
        <v>0.0</v>
      </c>
      <c r="F160" s="54">
        <v>0.0</v>
      </c>
      <c r="G160" s="54">
        <v>0.0</v>
      </c>
      <c r="H160" s="54">
        <v>0.0</v>
      </c>
      <c r="I160" s="54">
        <v>0.0</v>
      </c>
      <c r="J160" s="54">
        <v>0.0</v>
      </c>
      <c r="K160" s="54">
        <v>0.0</v>
      </c>
      <c r="L160" s="54">
        <v>0.0</v>
      </c>
      <c r="M160" s="54">
        <v>0.0</v>
      </c>
      <c r="N160" s="54">
        <v>0.0</v>
      </c>
      <c r="O160" s="54">
        <v>0.0</v>
      </c>
      <c r="P160" s="54">
        <v>0.0</v>
      </c>
      <c r="Q160" s="54">
        <v>0.0</v>
      </c>
      <c r="R160" s="54">
        <v>0.0</v>
      </c>
      <c r="S160" s="54">
        <v>0.0</v>
      </c>
      <c r="T160" s="54">
        <v>0.0</v>
      </c>
      <c r="U160" s="54">
        <v>0.0</v>
      </c>
      <c r="V160" s="54">
        <v>0.0</v>
      </c>
      <c r="W160" s="54">
        <v>0.0</v>
      </c>
      <c r="X160" s="54">
        <v>0.0</v>
      </c>
      <c r="Y160" s="54">
        <v>0.0</v>
      </c>
      <c r="Z160" s="54">
        <v>0.0</v>
      </c>
      <c r="AA160" s="54">
        <v>0.0</v>
      </c>
      <c r="AB160" s="54">
        <v>0.0</v>
      </c>
      <c r="AC160" s="55">
        <v>0.0</v>
      </c>
      <c r="AD160" s="54">
        <v>0.0</v>
      </c>
      <c r="AE160" s="54">
        <v>0.0</v>
      </c>
      <c r="AF160" s="54">
        <v>0.0</v>
      </c>
      <c r="AG160" s="54">
        <v>0.0</v>
      </c>
      <c r="AH160" s="54">
        <v>0.0</v>
      </c>
      <c r="AI160" s="54">
        <v>0.0</v>
      </c>
      <c r="AJ160" s="54">
        <v>2.0</v>
      </c>
      <c r="AK160" s="54">
        <v>1.0</v>
      </c>
      <c r="AL160" s="54">
        <v>1.0</v>
      </c>
      <c r="AM160" s="54">
        <v>1.0</v>
      </c>
      <c r="AN160" s="7">
        <v>0.0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  <c r="AV160" s="7">
        <v>0.0</v>
      </c>
      <c r="AW160" s="7">
        <v>0.0</v>
      </c>
      <c r="AX160" s="7">
        <v>0.0</v>
      </c>
      <c r="AY160" s="7">
        <v>0.0</v>
      </c>
      <c r="AZ160" s="7">
        <v>0.0</v>
      </c>
      <c r="BA160" s="7">
        <v>0.0</v>
      </c>
      <c r="BB160" s="7">
        <v>0.0</v>
      </c>
      <c r="BC160" s="7">
        <v>0.0</v>
      </c>
      <c r="BD160" s="7">
        <v>0.0</v>
      </c>
      <c r="BE160" s="7">
        <v>0.0</v>
      </c>
      <c r="BF160" s="7">
        <v>0.0</v>
      </c>
      <c r="BG160" s="7">
        <v>0.0</v>
      </c>
      <c r="BH160" s="7">
        <v>0.0</v>
      </c>
      <c r="BI160" s="7">
        <v>0.0</v>
      </c>
      <c r="BJ160" s="8">
        <v>0.0</v>
      </c>
    </row>
    <row r="161" ht="15.75" customHeight="1">
      <c r="A161" s="71" t="s">
        <v>139</v>
      </c>
      <c r="B161" s="58">
        <v>0.0</v>
      </c>
      <c r="C161" s="58">
        <v>0.0</v>
      </c>
      <c r="D161" s="58">
        <v>0.0</v>
      </c>
      <c r="E161" s="58">
        <v>0.0</v>
      </c>
      <c r="F161" s="58">
        <v>0.0</v>
      </c>
      <c r="G161" s="58">
        <v>0.0</v>
      </c>
      <c r="H161" s="58">
        <v>0.0</v>
      </c>
      <c r="I161" s="58">
        <v>0.0</v>
      </c>
      <c r="J161" s="58">
        <v>0.0</v>
      </c>
      <c r="K161" s="58">
        <v>0.0</v>
      </c>
      <c r="L161" s="58">
        <v>0.0</v>
      </c>
      <c r="M161" s="58">
        <v>0.0</v>
      </c>
      <c r="N161" s="58">
        <v>0.0</v>
      </c>
      <c r="O161" s="58">
        <v>0.0</v>
      </c>
      <c r="P161" s="58">
        <v>0.0</v>
      </c>
      <c r="Q161" s="58">
        <v>0.0</v>
      </c>
      <c r="R161" s="58">
        <v>0.0</v>
      </c>
      <c r="S161" s="58">
        <v>0.0</v>
      </c>
      <c r="T161" s="58">
        <v>0.0</v>
      </c>
      <c r="U161" s="58">
        <v>0.0</v>
      </c>
      <c r="V161" s="58">
        <v>0.0</v>
      </c>
      <c r="W161" s="58">
        <v>0.0</v>
      </c>
      <c r="X161" s="58">
        <v>0.0</v>
      </c>
      <c r="Y161" s="58">
        <v>0.0</v>
      </c>
      <c r="Z161" s="58">
        <v>0.0</v>
      </c>
      <c r="AA161" s="58">
        <v>0.0</v>
      </c>
      <c r="AB161" s="58">
        <v>0.0</v>
      </c>
      <c r="AC161" s="59">
        <v>0.0</v>
      </c>
      <c r="AD161" s="58">
        <v>0.0</v>
      </c>
      <c r="AE161" s="58">
        <v>0.0</v>
      </c>
      <c r="AF161" s="58">
        <v>0.0</v>
      </c>
      <c r="AG161" s="58">
        <v>0.0</v>
      </c>
      <c r="AH161" s="58">
        <v>0.0</v>
      </c>
      <c r="AI161" s="58">
        <v>0.0</v>
      </c>
      <c r="AJ161" s="58">
        <v>0.0</v>
      </c>
      <c r="AK161" s="58">
        <v>0.0</v>
      </c>
      <c r="AL161" s="58">
        <v>0.0</v>
      </c>
      <c r="AM161" s="58">
        <v>0.0</v>
      </c>
      <c r="AN161" s="58">
        <v>1.0</v>
      </c>
      <c r="AO161" s="45">
        <v>0.0</v>
      </c>
      <c r="AP161" s="45">
        <v>0.0</v>
      </c>
      <c r="AQ161" s="45">
        <v>0.0</v>
      </c>
      <c r="AR161" s="45">
        <v>0.0</v>
      </c>
      <c r="AS161" s="45">
        <v>0.0</v>
      </c>
      <c r="AT161" s="45">
        <v>0.0</v>
      </c>
      <c r="AU161" s="45">
        <v>0.0</v>
      </c>
      <c r="AV161" s="45">
        <v>0.0</v>
      </c>
      <c r="AW161" s="45">
        <v>0.0</v>
      </c>
      <c r="AX161" s="45">
        <v>0.0</v>
      </c>
      <c r="AY161" s="45">
        <v>0.0</v>
      </c>
      <c r="AZ161" s="45">
        <v>0.0</v>
      </c>
      <c r="BA161" s="45">
        <v>0.0</v>
      </c>
      <c r="BB161" s="45">
        <v>0.0</v>
      </c>
      <c r="BC161" s="45">
        <v>0.0</v>
      </c>
      <c r="BD161" s="45">
        <v>0.0</v>
      </c>
      <c r="BE161" s="45">
        <v>0.0</v>
      </c>
      <c r="BF161" s="45">
        <v>0.0</v>
      </c>
      <c r="BG161" s="45">
        <v>0.0</v>
      </c>
      <c r="BH161" s="45">
        <v>0.0</v>
      </c>
      <c r="BI161" s="45">
        <v>0.0</v>
      </c>
      <c r="BJ161" s="46">
        <v>0.0</v>
      </c>
    </row>
    <row r="162" ht="15.75" customHeight="1">
      <c r="A162" s="72" t="s">
        <v>60</v>
      </c>
      <c r="B162" s="54">
        <v>0.0</v>
      </c>
      <c r="C162" s="54">
        <v>0.0</v>
      </c>
      <c r="D162" s="54">
        <v>0.0</v>
      </c>
      <c r="E162" s="54">
        <v>0.0</v>
      </c>
      <c r="F162" s="54">
        <v>0.0</v>
      </c>
      <c r="G162" s="54">
        <v>0.0</v>
      </c>
      <c r="H162" s="54">
        <v>0.0</v>
      </c>
      <c r="I162" s="54">
        <v>0.0</v>
      </c>
      <c r="J162" s="54">
        <v>0.0</v>
      </c>
      <c r="K162" s="54">
        <v>0.0</v>
      </c>
      <c r="L162" s="54">
        <v>0.0</v>
      </c>
      <c r="M162" s="54">
        <v>0.0</v>
      </c>
      <c r="N162" s="54">
        <v>0.0</v>
      </c>
      <c r="O162" s="54">
        <v>0.0</v>
      </c>
      <c r="P162" s="54">
        <v>0.0</v>
      </c>
      <c r="Q162" s="54">
        <v>0.0</v>
      </c>
      <c r="R162" s="54">
        <v>0.0</v>
      </c>
      <c r="S162" s="54">
        <v>0.0</v>
      </c>
      <c r="T162" s="54">
        <v>0.0</v>
      </c>
      <c r="U162" s="54">
        <v>0.0</v>
      </c>
      <c r="V162" s="54">
        <v>0.0</v>
      </c>
      <c r="W162" s="54">
        <v>0.0</v>
      </c>
      <c r="X162" s="54">
        <v>0.0</v>
      </c>
      <c r="Y162" s="54">
        <v>0.0</v>
      </c>
      <c r="Z162" s="54">
        <v>0.0</v>
      </c>
      <c r="AA162" s="54">
        <v>0.0</v>
      </c>
      <c r="AB162" s="54">
        <v>0.0</v>
      </c>
      <c r="AC162" s="55">
        <v>0.0</v>
      </c>
      <c r="AD162" s="54">
        <v>0.0</v>
      </c>
      <c r="AE162" s="54">
        <v>0.0</v>
      </c>
      <c r="AF162" s="54">
        <v>0.0</v>
      </c>
      <c r="AG162" s="54">
        <v>0.0</v>
      </c>
      <c r="AH162" s="54">
        <v>4.0</v>
      </c>
      <c r="AI162" s="54">
        <v>8.0</v>
      </c>
      <c r="AJ162" s="7">
        <v>0.0</v>
      </c>
      <c r="AK162" s="7">
        <v>0.0</v>
      </c>
      <c r="AL162" s="7">
        <v>0.0</v>
      </c>
      <c r="AM162" s="7">
        <v>0.0</v>
      </c>
      <c r="AN162" s="7">
        <v>0.0</v>
      </c>
      <c r="AO162" s="7">
        <v>0.0</v>
      </c>
      <c r="AP162" s="7">
        <v>0.0</v>
      </c>
      <c r="AQ162" s="7">
        <v>0.0</v>
      </c>
      <c r="AR162" s="7">
        <v>0.0</v>
      </c>
      <c r="AS162" s="7">
        <v>0.0</v>
      </c>
      <c r="AT162" s="7">
        <v>0.0</v>
      </c>
      <c r="AU162" s="7">
        <v>0.0</v>
      </c>
      <c r="AV162" s="7">
        <v>0.0</v>
      </c>
      <c r="AW162" s="7">
        <v>0.0</v>
      </c>
      <c r="AX162" s="7">
        <v>0.0</v>
      </c>
      <c r="AY162" s="7">
        <v>0.0</v>
      </c>
      <c r="AZ162" s="7">
        <v>0.0</v>
      </c>
      <c r="BA162" s="7">
        <v>0.0</v>
      </c>
      <c r="BB162" s="7">
        <v>0.0</v>
      </c>
      <c r="BC162" s="7">
        <v>0.0</v>
      </c>
      <c r="BD162" s="7">
        <v>0.0</v>
      </c>
      <c r="BE162" s="7">
        <v>0.0</v>
      </c>
      <c r="BF162" s="7">
        <v>0.0</v>
      </c>
      <c r="BG162" s="7">
        <v>0.0</v>
      </c>
      <c r="BH162" s="7">
        <v>0.0</v>
      </c>
      <c r="BI162" s="7">
        <v>0.0</v>
      </c>
      <c r="BJ162" s="8">
        <v>0.0</v>
      </c>
    </row>
    <row r="163" ht="15.75" customHeight="1">
      <c r="A163" s="73" t="s">
        <v>140</v>
      </c>
      <c r="B163" s="54">
        <v>0.0</v>
      </c>
      <c r="C163" s="54">
        <v>0.0</v>
      </c>
      <c r="D163" s="54">
        <v>0.0</v>
      </c>
      <c r="E163" s="54">
        <v>0.0</v>
      </c>
      <c r="F163" s="54">
        <v>0.0</v>
      </c>
      <c r="G163" s="54">
        <v>0.0</v>
      </c>
      <c r="H163" s="54">
        <v>0.0</v>
      </c>
      <c r="I163" s="54">
        <v>0.0</v>
      </c>
      <c r="J163" s="54">
        <v>0.0</v>
      </c>
      <c r="K163" s="54">
        <v>0.0</v>
      </c>
      <c r="L163" s="54">
        <v>0.0</v>
      </c>
      <c r="M163" s="54">
        <v>0.0</v>
      </c>
      <c r="N163" s="54">
        <v>0.0</v>
      </c>
      <c r="O163" s="54">
        <v>0.0</v>
      </c>
      <c r="P163" s="54">
        <v>0.0</v>
      </c>
      <c r="Q163" s="54">
        <v>0.0</v>
      </c>
      <c r="R163" s="54">
        <v>0.0</v>
      </c>
      <c r="S163" s="54">
        <v>0.0</v>
      </c>
      <c r="T163" s="54">
        <v>0.0</v>
      </c>
      <c r="U163" s="54">
        <v>0.0</v>
      </c>
      <c r="V163" s="54">
        <v>0.0</v>
      </c>
      <c r="W163" s="54">
        <v>0.0</v>
      </c>
      <c r="X163" s="54">
        <v>0.0</v>
      </c>
      <c r="Y163" s="54">
        <v>0.0</v>
      </c>
      <c r="Z163" s="54">
        <v>0.0</v>
      </c>
      <c r="AA163" s="54">
        <v>0.0</v>
      </c>
      <c r="AB163" s="54">
        <v>0.0</v>
      </c>
      <c r="AC163" s="55">
        <v>0.0</v>
      </c>
      <c r="AD163" s="54">
        <v>0.0</v>
      </c>
      <c r="AE163" s="54">
        <v>0.0</v>
      </c>
      <c r="AF163" s="54">
        <v>0.0</v>
      </c>
      <c r="AG163" s="54">
        <v>0.0</v>
      </c>
      <c r="AH163" s="54">
        <v>0.0</v>
      </c>
      <c r="AI163" s="54">
        <v>0.0</v>
      </c>
      <c r="AJ163" s="54">
        <v>0.0</v>
      </c>
      <c r="AK163" s="54">
        <v>0.0</v>
      </c>
      <c r="AL163" s="54">
        <v>2.0</v>
      </c>
      <c r="AM163" s="54">
        <v>1.0</v>
      </c>
      <c r="AN163" s="54">
        <v>3.0</v>
      </c>
      <c r="AO163" s="7">
        <v>0.0</v>
      </c>
      <c r="AP163" s="7">
        <v>0.0</v>
      </c>
      <c r="AQ163" s="7">
        <v>0.0</v>
      </c>
      <c r="AR163" s="7">
        <v>0.0</v>
      </c>
      <c r="AS163" s="7">
        <v>0.0</v>
      </c>
      <c r="AT163" s="7">
        <v>0.0</v>
      </c>
      <c r="AU163" s="7">
        <v>0.0</v>
      </c>
      <c r="AV163" s="7">
        <v>0.0</v>
      </c>
      <c r="AW163" s="7">
        <v>0.0</v>
      </c>
      <c r="AX163" s="7">
        <v>0.0</v>
      </c>
      <c r="AY163" s="7">
        <v>0.0</v>
      </c>
      <c r="AZ163" s="7">
        <v>0.0</v>
      </c>
      <c r="BA163" s="7">
        <v>0.0</v>
      </c>
      <c r="BB163" s="7">
        <v>0.0</v>
      </c>
      <c r="BC163" s="7">
        <v>0.0</v>
      </c>
      <c r="BD163" s="7">
        <v>0.0</v>
      </c>
      <c r="BE163" s="7">
        <v>0.0</v>
      </c>
      <c r="BF163" s="7">
        <v>0.0</v>
      </c>
      <c r="BG163" s="7">
        <v>0.0</v>
      </c>
      <c r="BH163" s="7">
        <v>0.0</v>
      </c>
      <c r="BI163" s="7">
        <v>0.0</v>
      </c>
      <c r="BJ163" s="8">
        <v>0.0</v>
      </c>
    </row>
    <row r="164" ht="15.75" customHeight="1">
      <c r="A164" s="73" t="s">
        <v>141</v>
      </c>
      <c r="B164" s="54">
        <v>0.0</v>
      </c>
      <c r="C164" s="54">
        <v>0.0</v>
      </c>
      <c r="D164" s="54">
        <v>0.0</v>
      </c>
      <c r="E164" s="54">
        <v>0.0</v>
      </c>
      <c r="F164" s="54">
        <v>0.0</v>
      </c>
      <c r="G164" s="54">
        <v>0.0</v>
      </c>
      <c r="H164" s="54">
        <v>0.0</v>
      </c>
      <c r="I164" s="54">
        <v>0.0</v>
      </c>
      <c r="J164" s="54">
        <v>0.0</v>
      </c>
      <c r="K164" s="54">
        <v>0.0</v>
      </c>
      <c r="L164" s="54">
        <v>0.0</v>
      </c>
      <c r="M164" s="54">
        <v>0.0</v>
      </c>
      <c r="N164" s="54">
        <v>0.0</v>
      </c>
      <c r="O164" s="54">
        <v>0.0</v>
      </c>
      <c r="P164" s="54">
        <v>0.0</v>
      </c>
      <c r="Q164" s="54">
        <v>0.0</v>
      </c>
      <c r="R164" s="54">
        <v>0.0</v>
      </c>
      <c r="S164" s="54">
        <v>0.0</v>
      </c>
      <c r="T164" s="54">
        <v>0.0</v>
      </c>
      <c r="U164" s="54">
        <v>0.0</v>
      </c>
      <c r="V164" s="54">
        <v>0.0</v>
      </c>
      <c r="W164" s="54">
        <v>0.0</v>
      </c>
      <c r="X164" s="54">
        <v>0.0</v>
      </c>
      <c r="Y164" s="54">
        <v>0.0</v>
      </c>
      <c r="Z164" s="54">
        <v>0.0</v>
      </c>
      <c r="AA164" s="54">
        <v>0.0</v>
      </c>
      <c r="AB164" s="54">
        <v>0.0</v>
      </c>
      <c r="AC164" s="55">
        <v>0.0</v>
      </c>
      <c r="AD164" s="54">
        <v>0.0</v>
      </c>
      <c r="AE164" s="54">
        <v>0.0</v>
      </c>
      <c r="AF164" s="54">
        <v>0.0</v>
      </c>
      <c r="AG164" s="54">
        <v>0.0</v>
      </c>
      <c r="AH164" s="54">
        <v>0.0</v>
      </c>
      <c r="AI164" s="54">
        <v>0.0</v>
      </c>
      <c r="AJ164" s="54">
        <v>0.0</v>
      </c>
      <c r="AK164" s="54">
        <v>0.0</v>
      </c>
      <c r="AL164" s="54">
        <v>0.0</v>
      </c>
      <c r="AM164" s="54">
        <v>0.0</v>
      </c>
      <c r="AN164" s="54">
        <v>7.0</v>
      </c>
      <c r="AO164" s="54">
        <v>5.0</v>
      </c>
      <c r="AP164" s="7">
        <v>0.0</v>
      </c>
      <c r="AQ164" s="7">
        <v>0.0</v>
      </c>
      <c r="AR164" s="7">
        <v>0.0</v>
      </c>
      <c r="AS164" s="7">
        <v>0.0</v>
      </c>
      <c r="AT164" s="7">
        <v>0.0</v>
      </c>
      <c r="AU164" s="7">
        <v>0.0</v>
      </c>
      <c r="AV164" s="7">
        <v>0.0</v>
      </c>
      <c r="AW164" s="7">
        <v>0.0</v>
      </c>
      <c r="AX164" s="7">
        <v>0.0</v>
      </c>
      <c r="AY164" s="7">
        <v>0.0</v>
      </c>
      <c r="AZ164" s="7">
        <v>0.0</v>
      </c>
      <c r="BA164" s="7">
        <v>0.0</v>
      </c>
      <c r="BB164" s="7">
        <v>0.0</v>
      </c>
      <c r="BC164" s="7">
        <v>0.0</v>
      </c>
      <c r="BD164" s="7">
        <v>0.0</v>
      </c>
      <c r="BE164" s="7">
        <v>0.0</v>
      </c>
      <c r="BF164" s="7">
        <v>0.0</v>
      </c>
      <c r="BG164" s="7">
        <v>0.0</v>
      </c>
      <c r="BH164" s="7">
        <v>0.0</v>
      </c>
      <c r="BI164" s="7">
        <v>0.0</v>
      </c>
      <c r="BJ164" s="8">
        <v>0.0</v>
      </c>
    </row>
    <row r="165" ht="15.75" customHeight="1">
      <c r="A165" s="73" t="s">
        <v>142</v>
      </c>
      <c r="B165" s="54">
        <v>0.0</v>
      </c>
      <c r="C165" s="54">
        <v>0.0</v>
      </c>
      <c r="D165" s="54">
        <v>0.0</v>
      </c>
      <c r="E165" s="54">
        <v>0.0</v>
      </c>
      <c r="F165" s="54">
        <v>0.0</v>
      </c>
      <c r="G165" s="54">
        <v>0.0</v>
      </c>
      <c r="H165" s="54">
        <v>0.0</v>
      </c>
      <c r="I165" s="54">
        <v>0.0</v>
      </c>
      <c r="J165" s="54">
        <v>0.0</v>
      </c>
      <c r="K165" s="54">
        <v>0.0</v>
      </c>
      <c r="L165" s="54">
        <v>0.0</v>
      </c>
      <c r="M165" s="54">
        <v>0.0</v>
      </c>
      <c r="N165" s="54">
        <v>0.0</v>
      </c>
      <c r="O165" s="54">
        <v>0.0</v>
      </c>
      <c r="P165" s="54">
        <v>0.0</v>
      </c>
      <c r="Q165" s="54">
        <v>0.0</v>
      </c>
      <c r="R165" s="54">
        <v>0.0</v>
      </c>
      <c r="S165" s="54">
        <v>0.0</v>
      </c>
      <c r="T165" s="54">
        <v>0.0</v>
      </c>
      <c r="U165" s="54">
        <v>0.0</v>
      </c>
      <c r="V165" s="54">
        <v>0.0</v>
      </c>
      <c r="W165" s="54">
        <v>0.0</v>
      </c>
      <c r="X165" s="54">
        <v>0.0</v>
      </c>
      <c r="Y165" s="54">
        <v>0.0</v>
      </c>
      <c r="Z165" s="54">
        <v>0.0</v>
      </c>
      <c r="AA165" s="54">
        <v>0.0</v>
      </c>
      <c r="AB165" s="54">
        <v>0.0</v>
      </c>
      <c r="AC165" s="55">
        <v>0.0</v>
      </c>
      <c r="AD165" s="54">
        <v>0.0</v>
      </c>
      <c r="AE165" s="54">
        <v>0.0</v>
      </c>
      <c r="AF165" s="54">
        <v>0.0</v>
      </c>
      <c r="AG165" s="54">
        <v>0.0</v>
      </c>
      <c r="AH165" s="54">
        <v>0.0</v>
      </c>
      <c r="AI165" s="54">
        <v>0.0</v>
      </c>
      <c r="AJ165" s="54">
        <v>0.0</v>
      </c>
      <c r="AK165" s="54">
        <v>0.0</v>
      </c>
      <c r="AL165" s="54">
        <v>0.0</v>
      </c>
      <c r="AM165" s="54">
        <v>0.0</v>
      </c>
      <c r="AN165" s="54">
        <v>2.0</v>
      </c>
      <c r="AO165" s="54">
        <v>2.0</v>
      </c>
      <c r="AP165" s="54">
        <v>4.0</v>
      </c>
      <c r="AQ165" s="7">
        <v>0.0</v>
      </c>
      <c r="AR165" s="7">
        <v>0.0</v>
      </c>
      <c r="AS165" s="7">
        <v>0.0</v>
      </c>
      <c r="AT165" s="7">
        <v>0.0</v>
      </c>
      <c r="AU165" s="7">
        <v>0.0</v>
      </c>
      <c r="AV165" s="7">
        <v>0.0</v>
      </c>
      <c r="AW165" s="7">
        <v>0.0</v>
      </c>
      <c r="AX165" s="7">
        <v>0.0</v>
      </c>
      <c r="AY165" s="7">
        <v>0.0</v>
      </c>
      <c r="AZ165" s="7">
        <v>0.0</v>
      </c>
      <c r="BA165" s="7">
        <v>0.0</v>
      </c>
      <c r="BB165" s="7">
        <v>0.0</v>
      </c>
      <c r="BC165" s="7">
        <v>0.0</v>
      </c>
      <c r="BD165" s="7">
        <v>0.0</v>
      </c>
      <c r="BE165" s="7">
        <v>0.0</v>
      </c>
      <c r="BF165" s="7">
        <v>0.0</v>
      </c>
      <c r="BG165" s="7">
        <v>0.0</v>
      </c>
      <c r="BH165" s="7">
        <v>0.0</v>
      </c>
      <c r="BI165" s="7">
        <v>0.0</v>
      </c>
      <c r="BJ165" s="8">
        <v>0.0</v>
      </c>
    </row>
    <row r="166" ht="15.75" customHeight="1">
      <c r="A166" s="74" t="s">
        <v>143</v>
      </c>
      <c r="B166" s="58">
        <v>0.0</v>
      </c>
      <c r="C166" s="58">
        <v>0.0</v>
      </c>
      <c r="D166" s="58">
        <v>0.0</v>
      </c>
      <c r="E166" s="58">
        <v>0.0</v>
      </c>
      <c r="F166" s="58">
        <v>0.0</v>
      </c>
      <c r="G166" s="58">
        <v>0.0</v>
      </c>
      <c r="H166" s="58">
        <v>0.0</v>
      </c>
      <c r="I166" s="58">
        <v>0.0</v>
      </c>
      <c r="J166" s="58">
        <v>0.0</v>
      </c>
      <c r="K166" s="58">
        <v>0.0</v>
      </c>
      <c r="L166" s="58">
        <v>0.0</v>
      </c>
      <c r="M166" s="58">
        <v>0.0</v>
      </c>
      <c r="N166" s="58">
        <v>0.0</v>
      </c>
      <c r="O166" s="58">
        <v>0.0</v>
      </c>
      <c r="P166" s="58">
        <v>0.0</v>
      </c>
      <c r="Q166" s="58">
        <v>0.0</v>
      </c>
      <c r="R166" s="58">
        <v>0.0</v>
      </c>
      <c r="S166" s="58">
        <v>0.0</v>
      </c>
      <c r="T166" s="58">
        <v>0.0</v>
      </c>
      <c r="U166" s="58">
        <v>0.0</v>
      </c>
      <c r="V166" s="58">
        <v>0.0</v>
      </c>
      <c r="W166" s="58">
        <v>0.0</v>
      </c>
      <c r="X166" s="58">
        <v>0.0</v>
      </c>
      <c r="Y166" s="58">
        <v>0.0</v>
      </c>
      <c r="Z166" s="58">
        <v>0.0</v>
      </c>
      <c r="AA166" s="58">
        <v>0.0</v>
      </c>
      <c r="AB166" s="58">
        <v>0.0</v>
      </c>
      <c r="AC166" s="59">
        <v>0.0</v>
      </c>
      <c r="AD166" s="58">
        <v>0.0</v>
      </c>
      <c r="AE166" s="58">
        <v>0.0</v>
      </c>
      <c r="AF166" s="58">
        <v>0.0</v>
      </c>
      <c r="AG166" s="58">
        <v>0.0</v>
      </c>
      <c r="AH166" s="58">
        <v>0.0</v>
      </c>
      <c r="AI166" s="58">
        <v>0.0</v>
      </c>
      <c r="AJ166" s="58">
        <v>0.0</v>
      </c>
      <c r="AK166" s="58">
        <v>0.0</v>
      </c>
      <c r="AL166" s="58">
        <v>0.0</v>
      </c>
      <c r="AM166" s="58">
        <v>0.0</v>
      </c>
      <c r="AN166" s="58">
        <v>0.0</v>
      </c>
      <c r="AO166" s="58">
        <v>0.0</v>
      </c>
      <c r="AP166" s="58">
        <v>0.0</v>
      </c>
      <c r="AQ166" s="58">
        <v>1.0</v>
      </c>
      <c r="AR166" s="45">
        <v>0.0</v>
      </c>
      <c r="AS166" s="45">
        <v>0.0</v>
      </c>
      <c r="AT166" s="45">
        <v>0.0</v>
      </c>
      <c r="AU166" s="45">
        <v>0.0</v>
      </c>
      <c r="AV166" s="45">
        <v>0.0</v>
      </c>
      <c r="AW166" s="45">
        <v>0.0</v>
      </c>
      <c r="AX166" s="45">
        <v>0.0</v>
      </c>
      <c r="AY166" s="45">
        <v>0.0</v>
      </c>
      <c r="AZ166" s="45">
        <v>0.0</v>
      </c>
      <c r="BA166" s="45">
        <v>0.0</v>
      </c>
      <c r="BB166" s="45">
        <v>0.0</v>
      </c>
      <c r="BC166" s="45">
        <v>0.0</v>
      </c>
      <c r="BD166" s="45">
        <v>0.0</v>
      </c>
      <c r="BE166" s="45">
        <v>0.0</v>
      </c>
      <c r="BF166" s="45">
        <v>0.0</v>
      </c>
      <c r="BG166" s="45">
        <v>0.0</v>
      </c>
      <c r="BH166" s="45">
        <v>0.0</v>
      </c>
      <c r="BI166" s="45">
        <v>0.0</v>
      </c>
      <c r="BJ166" s="46">
        <v>0.0</v>
      </c>
    </row>
    <row r="167" ht="15.75" customHeight="1">
      <c r="A167" s="60" t="s">
        <v>60</v>
      </c>
      <c r="B167" s="54">
        <v>0.0</v>
      </c>
      <c r="C167" s="54">
        <v>0.0</v>
      </c>
      <c r="D167" s="54">
        <v>0.0</v>
      </c>
      <c r="E167" s="54">
        <v>0.0</v>
      </c>
      <c r="F167" s="54">
        <v>0.0</v>
      </c>
      <c r="G167" s="54">
        <v>0.0</v>
      </c>
      <c r="H167" s="54">
        <v>0.0</v>
      </c>
      <c r="I167" s="54">
        <v>0.0</v>
      </c>
      <c r="J167" s="54">
        <v>0.0</v>
      </c>
      <c r="K167" s="54">
        <v>0.0</v>
      </c>
      <c r="L167" s="54">
        <v>0.0</v>
      </c>
      <c r="M167" s="54">
        <v>0.0</v>
      </c>
      <c r="N167" s="54">
        <v>0.0</v>
      </c>
      <c r="O167" s="54">
        <v>0.0</v>
      </c>
      <c r="P167" s="54">
        <v>0.0</v>
      </c>
      <c r="Q167" s="54">
        <v>0.0</v>
      </c>
      <c r="R167" s="54">
        <v>0.0</v>
      </c>
      <c r="S167" s="54">
        <v>0.0</v>
      </c>
      <c r="T167" s="54">
        <v>0.0</v>
      </c>
      <c r="U167" s="54">
        <v>0.0</v>
      </c>
      <c r="V167" s="54">
        <v>0.0</v>
      </c>
      <c r="W167" s="54">
        <v>0.0</v>
      </c>
      <c r="X167" s="54">
        <v>0.0</v>
      </c>
      <c r="Y167" s="54">
        <v>0.0</v>
      </c>
      <c r="Z167" s="54">
        <v>0.0</v>
      </c>
      <c r="AA167" s="54">
        <v>0.0</v>
      </c>
      <c r="AB167" s="54">
        <v>0.0</v>
      </c>
      <c r="AC167" s="55">
        <v>0.0</v>
      </c>
      <c r="AD167" s="54">
        <v>0.0</v>
      </c>
      <c r="AE167" s="54">
        <v>0.0</v>
      </c>
      <c r="AF167" s="54">
        <v>0.0</v>
      </c>
      <c r="AG167" s="54">
        <v>0.0</v>
      </c>
      <c r="AH167" s="54">
        <v>4.0</v>
      </c>
      <c r="AI167" s="54">
        <v>5.0</v>
      </c>
      <c r="AJ167" s="7">
        <v>0.0</v>
      </c>
      <c r="AK167" s="7">
        <v>0.0</v>
      </c>
      <c r="AL167" s="7">
        <v>0.0</v>
      </c>
      <c r="AM167" s="7">
        <v>0.0</v>
      </c>
      <c r="AN167" s="7">
        <v>0.0</v>
      </c>
      <c r="AO167" s="7">
        <v>0.0</v>
      </c>
      <c r="AP167" s="7">
        <v>0.0</v>
      </c>
      <c r="AQ167" s="7">
        <v>0.0</v>
      </c>
      <c r="AR167" s="7">
        <v>0.0</v>
      </c>
      <c r="AS167" s="7">
        <v>0.0</v>
      </c>
      <c r="AT167" s="7">
        <v>0.0</v>
      </c>
      <c r="AU167" s="7">
        <v>0.0</v>
      </c>
      <c r="AV167" s="7">
        <v>0.0</v>
      </c>
      <c r="AW167" s="7">
        <v>0.0</v>
      </c>
      <c r="AX167" s="7">
        <v>0.0</v>
      </c>
      <c r="AY167" s="7">
        <v>0.0</v>
      </c>
      <c r="AZ167" s="7">
        <v>0.0</v>
      </c>
      <c r="BA167" s="7">
        <v>0.0</v>
      </c>
      <c r="BB167" s="7">
        <v>0.0</v>
      </c>
      <c r="BC167" s="7">
        <v>0.0</v>
      </c>
      <c r="BD167" s="7">
        <v>0.0</v>
      </c>
      <c r="BE167" s="7">
        <v>0.0</v>
      </c>
      <c r="BF167" s="7">
        <v>0.0</v>
      </c>
      <c r="BG167" s="7">
        <v>0.0</v>
      </c>
      <c r="BH167" s="7">
        <v>0.0</v>
      </c>
      <c r="BI167" s="7">
        <v>0.0</v>
      </c>
      <c r="BJ167" s="8">
        <v>0.0</v>
      </c>
    </row>
    <row r="168" ht="15.75" customHeight="1">
      <c r="A168" s="61" t="s">
        <v>140</v>
      </c>
      <c r="B168" s="54">
        <v>0.0</v>
      </c>
      <c r="C168" s="54">
        <v>0.0</v>
      </c>
      <c r="D168" s="54">
        <v>0.0</v>
      </c>
      <c r="E168" s="54">
        <v>0.0</v>
      </c>
      <c r="F168" s="54">
        <v>0.0</v>
      </c>
      <c r="G168" s="54">
        <v>0.0</v>
      </c>
      <c r="H168" s="54">
        <v>0.0</v>
      </c>
      <c r="I168" s="54">
        <v>0.0</v>
      </c>
      <c r="J168" s="54">
        <v>0.0</v>
      </c>
      <c r="K168" s="54">
        <v>0.0</v>
      </c>
      <c r="L168" s="54">
        <v>0.0</v>
      </c>
      <c r="M168" s="54">
        <v>0.0</v>
      </c>
      <c r="N168" s="54">
        <v>0.0</v>
      </c>
      <c r="O168" s="54">
        <v>0.0</v>
      </c>
      <c r="P168" s="54">
        <v>0.0</v>
      </c>
      <c r="Q168" s="54">
        <v>0.0</v>
      </c>
      <c r="R168" s="54">
        <v>0.0</v>
      </c>
      <c r="S168" s="54">
        <v>0.0</v>
      </c>
      <c r="T168" s="54">
        <v>0.0</v>
      </c>
      <c r="U168" s="54">
        <v>0.0</v>
      </c>
      <c r="V168" s="54">
        <v>0.0</v>
      </c>
      <c r="W168" s="54">
        <v>0.0</v>
      </c>
      <c r="X168" s="54">
        <v>0.0</v>
      </c>
      <c r="Y168" s="54">
        <v>0.0</v>
      </c>
      <c r="Z168" s="54">
        <v>0.0</v>
      </c>
      <c r="AA168" s="54">
        <v>0.0</v>
      </c>
      <c r="AB168" s="54">
        <v>0.0</v>
      </c>
      <c r="AC168" s="55">
        <v>0.0</v>
      </c>
      <c r="AD168" s="54">
        <v>0.0</v>
      </c>
      <c r="AE168" s="54">
        <v>0.0</v>
      </c>
      <c r="AF168" s="54">
        <v>0.0</v>
      </c>
      <c r="AG168" s="54">
        <v>0.0</v>
      </c>
      <c r="AH168" s="54">
        <v>0.0</v>
      </c>
      <c r="AI168" s="54">
        <v>0.0</v>
      </c>
      <c r="AJ168" s="54">
        <v>0.0</v>
      </c>
      <c r="AK168" s="54">
        <v>0.0</v>
      </c>
      <c r="AL168" s="54">
        <v>6.0</v>
      </c>
      <c r="AM168" s="7">
        <v>0.0</v>
      </c>
      <c r="AN168" s="7">
        <v>0.0</v>
      </c>
      <c r="AO168" s="7">
        <v>0.0</v>
      </c>
      <c r="AP168" s="7">
        <v>0.0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  <c r="AV168" s="7">
        <v>0.0</v>
      </c>
      <c r="AW168" s="7">
        <v>0.0</v>
      </c>
      <c r="AX168" s="7">
        <v>0.0</v>
      </c>
      <c r="AY168" s="7">
        <v>0.0</v>
      </c>
      <c r="AZ168" s="7">
        <v>0.0</v>
      </c>
      <c r="BA168" s="7">
        <v>0.0</v>
      </c>
      <c r="BB168" s="7">
        <v>0.0</v>
      </c>
      <c r="BC168" s="7">
        <v>0.0</v>
      </c>
      <c r="BD168" s="7">
        <v>0.0</v>
      </c>
      <c r="BE168" s="7">
        <v>0.0</v>
      </c>
      <c r="BF168" s="7">
        <v>0.0</v>
      </c>
      <c r="BG168" s="7">
        <v>0.0</v>
      </c>
      <c r="BH168" s="7">
        <v>0.0</v>
      </c>
      <c r="BI168" s="7">
        <v>0.0</v>
      </c>
      <c r="BJ168" s="8">
        <v>0.0</v>
      </c>
    </row>
    <row r="169" ht="15.75" customHeight="1">
      <c r="A169" s="61" t="s">
        <v>141</v>
      </c>
      <c r="B169" s="54">
        <v>0.0</v>
      </c>
      <c r="C169" s="54">
        <v>0.0</v>
      </c>
      <c r="D169" s="54">
        <v>0.0</v>
      </c>
      <c r="E169" s="54">
        <v>0.0</v>
      </c>
      <c r="F169" s="54">
        <v>0.0</v>
      </c>
      <c r="G169" s="54">
        <v>0.0</v>
      </c>
      <c r="H169" s="54">
        <v>0.0</v>
      </c>
      <c r="I169" s="54">
        <v>0.0</v>
      </c>
      <c r="J169" s="54">
        <v>0.0</v>
      </c>
      <c r="K169" s="54">
        <v>0.0</v>
      </c>
      <c r="L169" s="54">
        <v>0.0</v>
      </c>
      <c r="M169" s="54">
        <v>0.0</v>
      </c>
      <c r="N169" s="54">
        <v>0.0</v>
      </c>
      <c r="O169" s="54">
        <v>0.0</v>
      </c>
      <c r="P169" s="54">
        <v>0.0</v>
      </c>
      <c r="Q169" s="54">
        <v>0.0</v>
      </c>
      <c r="R169" s="54">
        <v>0.0</v>
      </c>
      <c r="S169" s="54">
        <v>0.0</v>
      </c>
      <c r="T169" s="54">
        <v>0.0</v>
      </c>
      <c r="U169" s="54">
        <v>0.0</v>
      </c>
      <c r="V169" s="54">
        <v>0.0</v>
      </c>
      <c r="W169" s="54">
        <v>0.0</v>
      </c>
      <c r="X169" s="54">
        <v>0.0</v>
      </c>
      <c r="Y169" s="54">
        <v>0.0</v>
      </c>
      <c r="Z169" s="54">
        <v>0.0</v>
      </c>
      <c r="AA169" s="54">
        <v>0.0</v>
      </c>
      <c r="AB169" s="54">
        <v>0.0</v>
      </c>
      <c r="AC169" s="55">
        <v>0.0</v>
      </c>
      <c r="AD169" s="54">
        <v>0.0</v>
      </c>
      <c r="AE169" s="54">
        <v>0.0</v>
      </c>
      <c r="AF169" s="54">
        <v>0.0</v>
      </c>
      <c r="AG169" s="54">
        <v>0.0</v>
      </c>
      <c r="AH169" s="54">
        <v>0.0</v>
      </c>
      <c r="AI169" s="54">
        <v>0.0</v>
      </c>
      <c r="AJ169" s="54">
        <v>0.0</v>
      </c>
      <c r="AK169" s="54">
        <v>0.0</v>
      </c>
      <c r="AL169" s="54">
        <v>0.0</v>
      </c>
      <c r="AM169" s="54">
        <v>8.0</v>
      </c>
      <c r="AN169" s="54">
        <v>3.0</v>
      </c>
      <c r="AO169" s="7">
        <v>0.0</v>
      </c>
      <c r="AP169" s="7">
        <v>0.0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  <c r="AV169" s="7">
        <v>0.0</v>
      </c>
      <c r="AW169" s="7">
        <v>0.0</v>
      </c>
      <c r="AX169" s="7">
        <v>0.0</v>
      </c>
      <c r="AY169" s="7">
        <v>0.0</v>
      </c>
      <c r="AZ169" s="7">
        <v>0.0</v>
      </c>
      <c r="BA169" s="7">
        <v>0.0</v>
      </c>
      <c r="BB169" s="7">
        <v>0.0</v>
      </c>
      <c r="BC169" s="7">
        <v>0.0</v>
      </c>
      <c r="BD169" s="7">
        <v>0.0</v>
      </c>
      <c r="BE169" s="7">
        <v>0.0</v>
      </c>
      <c r="BF169" s="7">
        <v>0.0</v>
      </c>
      <c r="BG169" s="7">
        <v>0.0</v>
      </c>
      <c r="BH169" s="7">
        <v>0.0</v>
      </c>
      <c r="BI169" s="7">
        <v>0.0</v>
      </c>
      <c r="BJ169" s="8">
        <v>0.0</v>
      </c>
    </row>
    <row r="170" ht="15.75" customHeight="1">
      <c r="A170" s="61" t="s">
        <v>142</v>
      </c>
      <c r="B170" s="54">
        <v>0.0</v>
      </c>
      <c r="C170" s="54">
        <v>0.0</v>
      </c>
      <c r="D170" s="54">
        <v>0.0</v>
      </c>
      <c r="E170" s="54">
        <v>0.0</v>
      </c>
      <c r="F170" s="54">
        <v>0.0</v>
      </c>
      <c r="G170" s="54">
        <v>0.0</v>
      </c>
      <c r="H170" s="54">
        <v>0.0</v>
      </c>
      <c r="I170" s="54">
        <v>0.0</v>
      </c>
      <c r="J170" s="54">
        <v>0.0</v>
      </c>
      <c r="K170" s="54">
        <v>0.0</v>
      </c>
      <c r="L170" s="54">
        <v>0.0</v>
      </c>
      <c r="M170" s="54">
        <v>0.0</v>
      </c>
      <c r="N170" s="54">
        <v>0.0</v>
      </c>
      <c r="O170" s="54">
        <v>0.0</v>
      </c>
      <c r="P170" s="54">
        <v>0.0</v>
      </c>
      <c r="Q170" s="54">
        <v>0.0</v>
      </c>
      <c r="R170" s="54">
        <v>0.0</v>
      </c>
      <c r="S170" s="54">
        <v>0.0</v>
      </c>
      <c r="T170" s="54">
        <v>0.0</v>
      </c>
      <c r="U170" s="54">
        <v>0.0</v>
      </c>
      <c r="V170" s="54">
        <v>0.0</v>
      </c>
      <c r="W170" s="54">
        <v>0.0</v>
      </c>
      <c r="X170" s="54">
        <v>0.0</v>
      </c>
      <c r="Y170" s="54">
        <v>0.0</v>
      </c>
      <c r="Z170" s="54">
        <v>0.0</v>
      </c>
      <c r="AA170" s="54">
        <v>0.0</v>
      </c>
      <c r="AB170" s="54">
        <v>0.0</v>
      </c>
      <c r="AC170" s="55">
        <v>0.0</v>
      </c>
      <c r="AD170" s="54">
        <v>0.0</v>
      </c>
      <c r="AE170" s="54">
        <v>0.0</v>
      </c>
      <c r="AF170" s="54">
        <v>0.0</v>
      </c>
      <c r="AG170" s="54">
        <v>0.0</v>
      </c>
      <c r="AH170" s="54">
        <v>0.0</v>
      </c>
      <c r="AI170" s="54">
        <v>0.0</v>
      </c>
      <c r="AJ170" s="54">
        <v>0.0</v>
      </c>
      <c r="AK170" s="54">
        <v>0.0</v>
      </c>
      <c r="AL170" s="54">
        <v>0.0</v>
      </c>
      <c r="AM170" s="54">
        <v>0.0</v>
      </c>
      <c r="AN170" s="54">
        <v>1.0</v>
      </c>
      <c r="AO170" s="54">
        <v>2.0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  <c r="AV170" s="7">
        <v>0.0</v>
      </c>
      <c r="AW170" s="7">
        <v>0.0</v>
      </c>
      <c r="AX170" s="7">
        <v>0.0</v>
      </c>
      <c r="AY170" s="7">
        <v>0.0</v>
      </c>
      <c r="AZ170" s="7">
        <v>0.0</v>
      </c>
      <c r="BA170" s="7">
        <v>0.0</v>
      </c>
      <c r="BB170" s="7">
        <v>0.0</v>
      </c>
      <c r="BC170" s="7">
        <v>0.0</v>
      </c>
      <c r="BD170" s="7">
        <v>0.0</v>
      </c>
      <c r="BE170" s="7">
        <v>0.0</v>
      </c>
      <c r="BF170" s="7">
        <v>0.0</v>
      </c>
      <c r="BG170" s="7">
        <v>0.0</v>
      </c>
      <c r="BH170" s="7">
        <v>0.0</v>
      </c>
      <c r="BI170" s="7">
        <v>0.0</v>
      </c>
      <c r="BJ170" s="8">
        <v>0.0</v>
      </c>
    </row>
    <row r="171" ht="15.75" customHeight="1">
      <c r="A171" s="62" t="s">
        <v>144</v>
      </c>
      <c r="B171" s="58">
        <v>0.0</v>
      </c>
      <c r="C171" s="58">
        <v>0.0</v>
      </c>
      <c r="D171" s="58">
        <v>0.0</v>
      </c>
      <c r="E171" s="58">
        <v>0.0</v>
      </c>
      <c r="F171" s="58">
        <v>0.0</v>
      </c>
      <c r="G171" s="58">
        <v>0.0</v>
      </c>
      <c r="H171" s="58">
        <v>0.0</v>
      </c>
      <c r="I171" s="58">
        <v>0.0</v>
      </c>
      <c r="J171" s="58">
        <v>0.0</v>
      </c>
      <c r="K171" s="58">
        <v>0.0</v>
      </c>
      <c r="L171" s="58">
        <v>0.0</v>
      </c>
      <c r="M171" s="58">
        <v>0.0</v>
      </c>
      <c r="N171" s="58">
        <v>0.0</v>
      </c>
      <c r="O171" s="58">
        <v>0.0</v>
      </c>
      <c r="P171" s="58">
        <v>0.0</v>
      </c>
      <c r="Q171" s="58">
        <v>0.0</v>
      </c>
      <c r="R171" s="58">
        <v>0.0</v>
      </c>
      <c r="S171" s="58">
        <v>0.0</v>
      </c>
      <c r="T171" s="58">
        <v>0.0</v>
      </c>
      <c r="U171" s="58">
        <v>0.0</v>
      </c>
      <c r="V171" s="58">
        <v>0.0</v>
      </c>
      <c r="W171" s="58">
        <v>0.0</v>
      </c>
      <c r="X171" s="58">
        <v>0.0</v>
      </c>
      <c r="Y171" s="58">
        <v>0.0</v>
      </c>
      <c r="Z171" s="58">
        <v>0.0</v>
      </c>
      <c r="AA171" s="58">
        <v>0.0</v>
      </c>
      <c r="AB171" s="58">
        <v>0.0</v>
      </c>
      <c r="AC171" s="59">
        <v>0.0</v>
      </c>
      <c r="AD171" s="58">
        <v>0.0</v>
      </c>
      <c r="AE171" s="58">
        <v>0.0</v>
      </c>
      <c r="AF171" s="58">
        <v>0.0</v>
      </c>
      <c r="AG171" s="58">
        <v>0.0</v>
      </c>
      <c r="AH171" s="58">
        <v>0.0</v>
      </c>
      <c r="AI171" s="58">
        <v>0.0</v>
      </c>
      <c r="AJ171" s="58">
        <v>0.0</v>
      </c>
      <c r="AK171" s="58">
        <v>0.0</v>
      </c>
      <c r="AL171" s="58">
        <v>0.0</v>
      </c>
      <c r="AM171" s="58">
        <v>0.0</v>
      </c>
      <c r="AN171" s="58">
        <v>0.0</v>
      </c>
      <c r="AO171" s="58">
        <v>0.0</v>
      </c>
      <c r="AP171" s="58">
        <v>1.0</v>
      </c>
      <c r="AQ171" s="45">
        <v>0.0</v>
      </c>
      <c r="AR171" s="45">
        <v>0.0</v>
      </c>
      <c r="AS171" s="45">
        <v>0.0</v>
      </c>
      <c r="AT171" s="45">
        <v>0.0</v>
      </c>
      <c r="AU171" s="45">
        <v>0.0</v>
      </c>
      <c r="AV171" s="45">
        <v>0.0</v>
      </c>
      <c r="AW171" s="45">
        <v>0.0</v>
      </c>
      <c r="AX171" s="45">
        <v>0.0</v>
      </c>
      <c r="AY171" s="45">
        <v>0.0</v>
      </c>
      <c r="AZ171" s="45">
        <v>0.0</v>
      </c>
      <c r="BA171" s="45">
        <v>0.0</v>
      </c>
      <c r="BB171" s="45">
        <v>0.0</v>
      </c>
      <c r="BC171" s="45">
        <v>0.0</v>
      </c>
      <c r="BD171" s="45">
        <v>0.0</v>
      </c>
      <c r="BE171" s="45">
        <v>0.0</v>
      </c>
      <c r="BF171" s="45">
        <v>0.0</v>
      </c>
      <c r="BG171" s="45">
        <v>0.0</v>
      </c>
      <c r="BH171" s="45">
        <v>0.0</v>
      </c>
      <c r="BI171" s="45">
        <v>0.0</v>
      </c>
      <c r="BJ171" s="46">
        <v>0.0</v>
      </c>
    </row>
    <row r="172" ht="15.75" customHeight="1">
      <c r="A172" s="81" t="s">
        <v>60</v>
      </c>
      <c r="B172" s="54">
        <v>0.0</v>
      </c>
      <c r="C172" s="54">
        <v>0.0</v>
      </c>
      <c r="D172" s="54">
        <v>0.0</v>
      </c>
      <c r="E172" s="54">
        <v>0.0</v>
      </c>
      <c r="F172" s="54">
        <v>0.0</v>
      </c>
      <c r="G172" s="54">
        <v>0.0</v>
      </c>
      <c r="H172" s="54">
        <v>0.0</v>
      </c>
      <c r="I172" s="54">
        <v>0.0</v>
      </c>
      <c r="J172" s="54">
        <v>0.0</v>
      </c>
      <c r="K172" s="54">
        <v>0.0</v>
      </c>
      <c r="L172" s="54">
        <v>0.0</v>
      </c>
      <c r="M172" s="54">
        <v>0.0</v>
      </c>
      <c r="N172" s="54">
        <v>0.0</v>
      </c>
      <c r="O172" s="54">
        <v>0.0</v>
      </c>
      <c r="P172" s="54">
        <v>0.0</v>
      </c>
      <c r="Q172" s="54">
        <v>0.0</v>
      </c>
      <c r="R172" s="54">
        <v>0.0</v>
      </c>
      <c r="S172" s="54">
        <v>0.0</v>
      </c>
      <c r="T172" s="54">
        <v>0.0</v>
      </c>
      <c r="U172" s="54">
        <v>0.0</v>
      </c>
      <c r="V172" s="54">
        <v>0.0</v>
      </c>
      <c r="W172" s="54">
        <v>0.0</v>
      </c>
      <c r="X172" s="54">
        <v>0.0</v>
      </c>
      <c r="Y172" s="54">
        <v>0.0</v>
      </c>
      <c r="Z172" s="54">
        <v>0.0</v>
      </c>
      <c r="AA172" s="54">
        <v>0.0</v>
      </c>
      <c r="AB172" s="54">
        <v>0.0</v>
      </c>
      <c r="AC172" s="55">
        <v>0.0</v>
      </c>
      <c r="AD172" s="54">
        <v>0.0</v>
      </c>
      <c r="AE172" s="54">
        <v>0.0</v>
      </c>
      <c r="AF172" s="54">
        <v>0.0</v>
      </c>
      <c r="AG172" s="54">
        <v>0.0</v>
      </c>
      <c r="AH172" s="54">
        <v>4.0</v>
      </c>
      <c r="AI172" s="54">
        <v>3.0</v>
      </c>
      <c r="AJ172" s="7">
        <v>0.0</v>
      </c>
      <c r="AK172" s="7">
        <v>0.0</v>
      </c>
      <c r="AL172" s="7">
        <v>0.0</v>
      </c>
      <c r="AM172" s="7">
        <v>0.0</v>
      </c>
      <c r="AN172" s="7">
        <v>0.0</v>
      </c>
      <c r="AO172" s="7">
        <v>0.0</v>
      </c>
      <c r="AP172" s="7">
        <v>0.0</v>
      </c>
      <c r="AQ172" s="7">
        <v>0.0</v>
      </c>
      <c r="AR172" s="7">
        <v>0.0</v>
      </c>
      <c r="AS172" s="7">
        <v>0.0</v>
      </c>
      <c r="AT172" s="7">
        <v>0.0</v>
      </c>
      <c r="AU172" s="7">
        <v>0.0</v>
      </c>
      <c r="AV172" s="7">
        <v>0.0</v>
      </c>
      <c r="AW172" s="7">
        <v>0.0</v>
      </c>
      <c r="AX172" s="7">
        <v>0.0</v>
      </c>
      <c r="AY172" s="7">
        <v>0.0</v>
      </c>
      <c r="AZ172" s="7">
        <v>0.0</v>
      </c>
      <c r="BA172" s="7">
        <v>0.0</v>
      </c>
      <c r="BB172" s="7">
        <v>0.0</v>
      </c>
      <c r="BC172" s="7">
        <v>0.0</v>
      </c>
      <c r="BD172" s="7">
        <v>0.0</v>
      </c>
      <c r="BE172" s="7">
        <v>0.0</v>
      </c>
      <c r="BF172" s="7">
        <v>0.0</v>
      </c>
      <c r="BG172" s="7">
        <v>0.0</v>
      </c>
      <c r="BH172" s="7">
        <v>0.0</v>
      </c>
      <c r="BI172" s="7">
        <v>0.0</v>
      </c>
      <c r="BJ172" s="8">
        <v>0.0</v>
      </c>
    </row>
    <row r="173" ht="15.75" customHeight="1">
      <c r="A173" s="82" t="s">
        <v>145</v>
      </c>
      <c r="B173" s="54">
        <v>0.0</v>
      </c>
      <c r="C173" s="54">
        <v>0.0</v>
      </c>
      <c r="D173" s="54">
        <v>0.0</v>
      </c>
      <c r="E173" s="54">
        <v>0.0</v>
      </c>
      <c r="F173" s="54">
        <v>0.0</v>
      </c>
      <c r="G173" s="54">
        <v>0.0</v>
      </c>
      <c r="H173" s="54">
        <v>0.0</v>
      </c>
      <c r="I173" s="54">
        <v>0.0</v>
      </c>
      <c r="J173" s="54">
        <v>0.0</v>
      </c>
      <c r="K173" s="54">
        <v>0.0</v>
      </c>
      <c r="L173" s="54">
        <v>0.0</v>
      </c>
      <c r="M173" s="54">
        <v>0.0</v>
      </c>
      <c r="N173" s="54">
        <v>0.0</v>
      </c>
      <c r="O173" s="54">
        <v>0.0</v>
      </c>
      <c r="P173" s="54">
        <v>0.0</v>
      </c>
      <c r="Q173" s="54">
        <v>0.0</v>
      </c>
      <c r="R173" s="54">
        <v>0.0</v>
      </c>
      <c r="S173" s="54">
        <v>0.0</v>
      </c>
      <c r="T173" s="54">
        <v>0.0</v>
      </c>
      <c r="U173" s="54">
        <v>0.0</v>
      </c>
      <c r="V173" s="54">
        <v>0.0</v>
      </c>
      <c r="W173" s="54">
        <v>0.0</v>
      </c>
      <c r="X173" s="54">
        <v>0.0</v>
      </c>
      <c r="Y173" s="54">
        <v>0.0</v>
      </c>
      <c r="Z173" s="54">
        <v>0.0</v>
      </c>
      <c r="AA173" s="54">
        <v>0.0</v>
      </c>
      <c r="AB173" s="54">
        <v>0.0</v>
      </c>
      <c r="AC173" s="55">
        <v>0.0</v>
      </c>
      <c r="AD173" s="54">
        <v>0.0</v>
      </c>
      <c r="AE173" s="54">
        <v>0.0</v>
      </c>
      <c r="AF173" s="54">
        <v>0.0</v>
      </c>
      <c r="AG173" s="54">
        <v>0.0</v>
      </c>
      <c r="AH173" s="54">
        <v>0.0</v>
      </c>
      <c r="AI173" s="54">
        <v>0.0</v>
      </c>
      <c r="AJ173" s="54">
        <v>0.0</v>
      </c>
      <c r="AK173" s="54">
        <v>0.0</v>
      </c>
      <c r="AL173" s="54">
        <v>4.0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  <c r="AV173" s="7">
        <v>0.0</v>
      </c>
      <c r="AW173" s="7">
        <v>0.0</v>
      </c>
      <c r="AX173" s="7">
        <v>0.0</v>
      </c>
      <c r="AY173" s="7">
        <v>0.0</v>
      </c>
      <c r="AZ173" s="7">
        <v>0.0</v>
      </c>
      <c r="BA173" s="7">
        <v>0.0</v>
      </c>
      <c r="BB173" s="7">
        <v>0.0</v>
      </c>
      <c r="BC173" s="7">
        <v>0.0</v>
      </c>
      <c r="BD173" s="7">
        <v>0.0</v>
      </c>
      <c r="BE173" s="7">
        <v>0.0</v>
      </c>
      <c r="BF173" s="7">
        <v>0.0</v>
      </c>
      <c r="BG173" s="7">
        <v>0.0</v>
      </c>
      <c r="BH173" s="7">
        <v>0.0</v>
      </c>
      <c r="BI173" s="7">
        <v>0.0</v>
      </c>
      <c r="BJ173" s="8">
        <v>0.0</v>
      </c>
    </row>
    <row r="174" ht="15.75" customHeight="1">
      <c r="A174" s="82" t="s">
        <v>146</v>
      </c>
      <c r="B174" s="54">
        <v>0.0</v>
      </c>
      <c r="C174" s="54">
        <v>0.0</v>
      </c>
      <c r="D174" s="54">
        <v>0.0</v>
      </c>
      <c r="E174" s="54">
        <v>0.0</v>
      </c>
      <c r="F174" s="54">
        <v>0.0</v>
      </c>
      <c r="G174" s="54">
        <v>0.0</v>
      </c>
      <c r="H174" s="54">
        <v>0.0</v>
      </c>
      <c r="I174" s="54">
        <v>0.0</v>
      </c>
      <c r="J174" s="54">
        <v>0.0</v>
      </c>
      <c r="K174" s="54">
        <v>0.0</v>
      </c>
      <c r="L174" s="54">
        <v>0.0</v>
      </c>
      <c r="M174" s="54">
        <v>0.0</v>
      </c>
      <c r="N174" s="54">
        <v>0.0</v>
      </c>
      <c r="O174" s="54">
        <v>0.0</v>
      </c>
      <c r="P174" s="54">
        <v>0.0</v>
      </c>
      <c r="Q174" s="54">
        <v>0.0</v>
      </c>
      <c r="R174" s="54">
        <v>0.0</v>
      </c>
      <c r="S174" s="54">
        <v>0.0</v>
      </c>
      <c r="T174" s="54">
        <v>0.0</v>
      </c>
      <c r="U174" s="54">
        <v>0.0</v>
      </c>
      <c r="V174" s="54">
        <v>0.0</v>
      </c>
      <c r="W174" s="54">
        <v>0.0</v>
      </c>
      <c r="X174" s="54">
        <v>0.0</v>
      </c>
      <c r="Y174" s="54">
        <v>0.0</v>
      </c>
      <c r="Z174" s="54">
        <v>0.0</v>
      </c>
      <c r="AA174" s="54">
        <v>0.0</v>
      </c>
      <c r="AB174" s="54">
        <v>0.0</v>
      </c>
      <c r="AC174" s="55">
        <v>0.0</v>
      </c>
      <c r="AD174" s="54">
        <v>0.0</v>
      </c>
      <c r="AE174" s="54">
        <v>0.0</v>
      </c>
      <c r="AF174" s="54">
        <v>0.0</v>
      </c>
      <c r="AG174" s="54">
        <v>0.0</v>
      </c>
      <c r="AH174" s="54">
        <v>0.0</v>
      </c>
      <c r="AI174" s="54">
        <v>0.0</v>
      </c>
      <c r="AJ174" s="54">
        <v>0.0</v>
      </c>
      <c r="AK174" s="54">
        <v>0.0</v>
      </c>
      <c r="AL174" s="54">
        <v>0.0</v>
      </c>
      <c r="AM174" s="54">
        <v>1.0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  <c r="AV174" s="7">
        <v>0.0</v>
      </c>
      <c r="AW174" s="7">
        <v>0.0</v>
      </c>
      <c r="AX174" s="7">
        <v>0.0</v>
      </c>
      <c r="AY174" s="7">
        <v>0.0</v>
      </c>
      <c r="AZ174" s="7">
        <v>0.0</v>
      </c>
      <c r="BA174" s="7">
        <v>0.0</v>
      </c>
      <c r="BB174" s="7">
        <v>0.0</v>
      </c>
      <c r="BC174" s="7">
        <v>0.0</v>
      </c>
      <c r="BD174" s="7">
        <v>0.0</v>
      </c>
      <c r="BE174" s="7">
        <v>0.0</v>
      </c>
      <c r="BF174" s="7">
        <v>0.0</v>
      </c>
      <c r="BG174" s="7">
        <v>0.0</v>
      </c>
      <c r="BH174" s="7">
        <v>0.0</v>
      </c>
      <c r="BI174" s="7">
        <v>0.0</v>
      </c>
      <c r="BJ174" s="8">
        <v>0.0</v>
      </c>
    </row>
    <row r="175" ht="15.75" customHeight="1">
      <c r="A175" s="82" t="s">
        <v>147</v>
      </c>
      <c r="B175" s="54">
        <v>0.0</v>
      </c>
      <c r="C175" s="54">
        <v>0.0</v>
      </c>
      <c r="D175" s="54">
        <v>0.0</v>
      </c>
      <c r="E175" s="54">
        <v>0.0</v>
      </c>
      <c r="F175" s="54">
        <v>0.0</v>
      </c>
      <c r="G175" s="54">
        <v>0.0</v>
      </c>
      <c r="H175" s="54">
        <v>0.0</v>
      </c>
      <c r="I175" s="54">
        <v>0.0</v>
      </c>
      <c r="J175" s="54">
        <v>0.0</v>
      </c>
      <c r="K175" s="54">
        <v>0.0</v>
      </c>
      <c r="L175" s="54">
        <v>0.0</v>
      </c>
      <c r="M175" s="54">
        <v>0.0</v>
      </c>
      <c r="N175" s="54">
        <v>0.0</v>
      </c>
      <c r="O175" s="54">
        <v>0.0</v>
      </c>
      <c r="P175" s="54">
        <v>0.0</v>
      </c>
      <c r="Q175" s="54">
        <v>0.0</v>
      </c>
      <c r="R175" s="54">
        <v>0.0</v>
      </c>
      <c r="S175" s="54">
        <v>0.0</v>
      </c>
      <c r="T175" s="54">
        <v>0.0</v>
      </c>
      <c r="U175" s="54">
        <v>0.0</v>
      </c>
      <c r="V175" s="54">
        <v>0.0</v>
      </c>
      <c r="W175" s="54">
        <v>0.0</v>
      </c>
      <c r="X175" s="54">
        <v>0.0</v>
      </c>
      <c r="Y175" s="54">
        <v>0.0</v>
      </c>
      <c r="Z175" s="54">
        <v>0.0</v>
      </c>
      <c r="AA175" s="54">
        <v>0.0</v>
      </c>
      <c r="AB175" s="54">
        <v>0.0</v>
      </c>
      <c r="AC175" s="55">
        <v>0.0</v>
      </c>
      <c r="AD175" s="54">
        <v>0.0</v>
      </c>
      <c r="AE175" s="54">
        <v>0.0</v>
      </c>
      <c r="AF175" s="54">
        <v>0.0</v>
      </c>
      <c r="AG175" s="54">
        <v>0.0</v>
      </c>
      <c r="AH175" s="54">
        <v>0.0</v>
      </c>
      <c r="AI175" s="54">
        <v>0.0</v>
      </c>
      <c r="AJ175" s="54">
        <v>0.0</v>
      </c>
      <c r="AK175" s="54">
        <v>0.0</v>
      </c>
      <c r="AL175" s="54">
        <v>0.0</v>
      </c>
      <c r="AM175" s="54">
        <v>0.0</v>
      </c>
      <c r="AN175" s="54">
        <v>6.0</v>
      </c>
      <c r="AO175" s="54">
        <v>3.0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  <c r="AV175" s="7">
        <v>0.0</v>
      </c>
      <c r="AW175" s="7">
        <v>0.0</v>
      </c>
      <c r="AX175" s="7">
        <v>0.0</v>
      </c>
      <c r="AY175" s="7">
        <v>0.0</v>
      </c>
      <c r="AZ175" s="7">
        <v>0.0</v>
      </c>
      <c r="BA175" s="7">
        <v>0.0</v>
      </c>
      <c r="BB175" s="7">
        <v>0.0</v>
      </c>
      <c r="BC175" s="7">
        <v>0.0</v>
      </c>
      <c r="BD175" s="7">
        <v>0.0</v>
      </c>
      <c r="BE175" s="7">
        <v>0.0</v>
      </c>
      <c r="BF175" s="7">
        <v>0.0</v>
      </c>
      <c r="BG175" s="7">
        <v>0.0</v>
      </c>
      <c r="BH175" s="7">
        <v>0.0</v>
      </c>
      <c r="BI175" s="7">
        <v>0.0</v>
      </c>
      <c r="BJ175" s="8">
        <v>0.0</v>
      </c>
    </row>
    <row r="176" ht="15.75" customHeight="1">
      <c r="A176" s="82" t="s">
        <v>148</v>
      </c>
      <c r="B176" s="54">
        <v>0.0</v>
      </c>
      <c r="C176" s="54">
        <v>0.0</v>
      </c>
      <c r="D176" s="54">
        <v>0.0</v>
      </c>
      <c r="E176" s="54">
        <v>0.0</v>
      </c>
      <c r="F176" s="54">
        <v>0.0</v>
      </c>
      <c r="G176" s="54">
        <v>0.0</v>
      </c>
      <c r="H176" s="54">
        <v>0.0</v>
      </c>
      <c r="I176" s="54">
        <v>0.0</v>
      </c>
      <c r="J176" s="54">
        <v>0.0</v>
      </c>
      <c r="K176" s="54">
        <v>0.0</v>
      </c>
      <c r="L176" s="54">
        <v>0.0</v>
      </c>
      <c r="M176" s="54">
        <v>0.0</v>
      </c>
      <c r="N176" s="54">
        <v>0.0</v>
      </c>
      <c r="O176" s="54">
        <v>0.0</v>
      </c>
      <c r="P176" s="54">
        <v>0.0</v>
      </c>
      <c r="Q176" s="54">
        <v>0.0</v>
      </c>
      <c r="R176" s="54">
        <v>0.0</v>
      </c>
      <c r="S176" s="54">
        <v>0.0</v>
      </c>
      <c r="T176" s="54">
        <v>0.0</v>
      </c>
      <c r="U176" s="54">
        <v>0.0</v>
      </c>
      <c r="V176" s="54">
        <v>0.0</v>
      </c>
      <c r="W176" s="54">
        <v>0.0</v>
      </c>
      <c r="X176" s="54">
        <v>0.0</v>
      </c>
      <c r="Y176" s="54">
        <v>0.0</v>
      </c>
      <c r="Z176" s="54">
        <v>0.0</v>
      </c>
      <c r="AA176" s="54">
        <v>0.0</v>
      </c>
      <c r="AB176" s="54">
        <v>0.0</v>
      </c>
      <c r="AC176" s="55">
        <v>0.0</v>
      </c>
      <c r="AD176" s="54">
        <v>0.0</v>
      </c>
      <c r="AE176" s="54">
        <v>0.0</v>
      </c>
      <c r="AF176" s="54">
        <v>0.0</v>
      </c>
      <c r="AG176" s="54">
        <v>0.0</v>
      </c>
      <c r="AH176" s="54">
        <v>0.0</v>
      </c>
      <c r="AI176" s="54">
        <v>0.0</v>
      </c>
      <c r="AJ176" s="54">
        <v>0.0</v>
      </c>
      <c r="AK176" s="54">
        <v>0.0</v>
      </c>
      <c r="AL176" s="54">
        <v>0.0</v>
      </c>
      <c r="AM176" s="54">
        <v>0.0</v>
      </c>
      <c r="AN176" s="54">
        <v>0.0</v>
      </c>
      <c r="AO176" s="54">
        <v>1.0</v>
      </c>
      <c r="AP176" s="54">
        <v>2.0</v>
      </c>
      <c r="AQ176" s="54">
        <v>3.0</v>
      </c>
      <c r="AR176" s="7">
        <v>0.0</v>
      </c>
      <c r="AS176" s="7">
        <v>0.0</v>
      </c>
      <c r="AT176" s="7">
        <v>0.0</v>
      </c>
      <c r="AU176" s="7">
        <v>0.0</v>
      </c>
      <c r="AV176" s="7">
        <v>0.0</v>
      </c>
      <c r="AW176" s="7">
        <v>0.0</v>
      </c>
      <c r="AX176" s="7">
        <v>0.0</v>
      </c>
      <c r="AY176" s="7">
        <v>0.0</v>
      </c>
      <c r="AZ176" s="7">
        <v>0.0</v>
      </c>
      <c r="BA176" s="7">
        <v>0.0</v>
      </c>
      <c r="BB176" s="7">
        <v>0.0</v>
      </c>
      <c r="BC176" s="7">
        <v>0.0</v>
      </c>
      <c r="BD176" s="7">
        <v>0.0</v>
      </c>
      <c r="BE176" s="7">
        <v>0.0</v>
      </c>
      <c r="BF176" s="7">
        <v>0.0</v>
      </c>
      <c r="BG176" s="7">
        <v>0.0</v>
      </c>
      <c r="BH176" s="7">
        <v>0.0</v>
      </c>
      <c r="BI176" s="7">
        <v>0.0</v>
      </c>
      <c r="BJ176" s="8">
        <v>0.0</v>
      </c>
    </row>
    <row r="177" ht="15.75" customHeight="1">
      <c r="A177" s="83" t="s">
        <v>149</v>
      </c>
      <c r="B177" s="58">
        <v>0.0</v>
      </c>
      <c r="C177" s="58">
        <v>0.0</v>
      </c>
      <c r="D177" s="58">
        <v>0.0</v>
      </c>
      <c r="E177" s="58">
        <v>0.0</v>
      </c>
      <c r="F177" s="58">
        <v>0.0</v>
      </c>
      <c r="G177" s="58">
        <v>0.0</v>
      </c>
      <c r="H177" s="58">
        <v>0.0</v>
      </c>
      <c r="I177" s="58">
        <v>0.0</v>
      </c>
      <c r="J177" s="58">
        <v>0.0</v>
      </c>
      <c r="K177" s="58">
        <v>0.0</v>
      </c>
      <c r="L177" s="58">
        <v>0.0</v>
      </c>
      <c r="M177" s="58">
        <v>0.0</v>
      </c>
      <c r="N177" s="58">
        <v>0.0</v>
      </c>
      <c r="O177" s="58">
        <v>0.0</v>
      </c>
      <c r="P177" s="58">
        <v>0.0</v>
      </c>
      <c r="Q177" s="58">
        <v>0.0</v>
      </c>
      <c r="R177" s="58">
        <v>0.0</v>
      </c>
      <c r="S177" s="58">
        <v>0.0</v>
      </c>
      <c r="T177" s="58">
        <v>0.0</v>
      </c>
      <c r="U177" s="58">
        <v>0.0</v>
      </c>
      <c r="V177" s="58">
        <v>0.0</v>
      </c>
      <c r="W177" s="58">
        <v>0.0</v>
      </c>
      <c r="X177" s="58">
        <v>0.0</v>
      </c>
      <c r="Y177" s="58">
        <v>0.0</v>
      </c>
      <c r="Z177" s="58">
        <v>0.0</v>
      </c>
      <c r="AA177" s="58">
        <v>0.0</v>
      </c>
      <c r="AB177" s="58">
        <v>0.0</v>
      </c>
      <c r="AC177" s="59">
        <v>0.0</v>
      </c>
      <c r="AD177" s="58">
        <v>0.0</v>
      </c>
      <c r="AE177" s="58">
        <v>0.0</v>
      </c>
      <c r="AF177" s="58">
        <v>0.0</v>
      </c>
      <c r="AG177" s="58">
        <v>0.0</v>
      </c>
      <c r="AH177" s="58">
        <v>0.0</v>
      </c>
      <c r="AI177" s="58">
        <v>0.0</v>
      </c>
      <c r="AJ177" s="58">
        <v>0.0</v>
      </c>
      <c r="AK177" s="58">
        <v>0.0</v>
      </c>
      <c r="AL177" s="58">
        <v>0.0</v>
      </c>
      <c r="AM177" s="58">
        <v>0.0</v>
      </c>
      <c r="AN177" s="58">
        <v>0.0</v>
      </c>
      <c r="AO177" s="58">
        <v>0.0</v>
      </c>
      <c r="AP177" s="58">
        <v>1.0</v>
      </c>
      <c r="AQ177" s="58">
        <v>0.0</v>
      </c>
      <c r="AR177" s="58">
        <v>1.0</v>
      </c>
      <c r="AS177" s="45">
        <v>0.0</v>
      </c>
      <c r="AT177" s="45">
        <v>0.0</v>
      </c>
      <c r="AU177" s="45">
        <v>0.0</v>
      </c>
      <c r="AV177" s="45">
        <v>0.0</v>
      </c>
      <c r="AW177" s="45">
        <v>0.0</v>
      </c>
      <c r="AX177" s="45">
        <v>0.0</v>
      </c>
      <c r="AY177" s="45">
        <v>0.0</v>
      </c>
      <c r="AZ177" s="45">
        <v>0.0</v>
      </c>
      <c r="BA177" s="45">
        <v>0.0</v>
      </c>
      <c r="BB177" s="45">
        <v>0.0</v>
      </c>
      <c r="BC177" s="45">
        <v>0.0</v>
      </c>
      <c r="BD177" s="45">
        <v>0.0</v>
      </c>
      <c r="BE177" s="45">
        <v>0.0</v>
      </c>
      <c r="BF177" s="45">
        <v>0.0</v>
      </c>
      <c r="BG177" s="45">
        <v>0.0</v>
      </c>
      <c r="BH177" s="45">
        <v>0.0</v>
      </c>
      <c r="BI177" s="45">
        <v>0.0</v>
      </c>
      <c r="BJ177" s="46">
        <v>0.0</v>
      </c>
    </row>
    <row r="178" ht="15.75" customHeight="1">
      <c r="A178" s="84" t="s">
        <v>60</v>
      </c>
      <c r="B178" s="54">
        <v>0.0</v>
      </c>
      <c r="C178" s="54">
        <v>0.0</v>
      </c>
      <c r="D178" s="54">
        <v>0.0</v>
      </c>
      <c r="E178" s="54">
        <v>0.0</v>
      </c>
      <c r="F178" s="54">
        <v>0.0</v>
      </c>
      <c r="G178" s="54">
        <v>0.0</v>
      </c>
      <c r="H178" s="54">
        <v>0.0</v>
      </c>
      <c r="I178" s="54">
        <v>0.0</v>
      </c>
      <c r="J178" s="54">
        <v>0.0</v>
      </c>
      <c r="K178" s="54">
        <v>0.0</v>
      </c>
      <c r="L178" s="54">
        <v>0.0</v>
      </c>
      <c r="M178" s="54">
        <v>0.0</v>
      </c>
      <c r="N178" s="54">
        <v>0.0</v>
      </c>
      <c r="O178" s="54">
        <v>0.0</v>
      </c>
      <c r="P178" s="54">
        <v>0.0</v>
      </c>
      <c r="Q178" s="54">
        <v>0.0</v>
      </c>
      <c r="R178" s="54">
        <v>0.0</v>
      </c>
      <c r="S178" s="54">
        <v>0.0</v>
      </c>
      <c r="T178" s="54">
        <v>0.0</v>
      </c>
      <c r="U178" s="54">
        <v>0.0</v>
      </c>
      <c r="V178" s="54">
        <v>0.0</v>
      </c>
      <c r="W178" s="54">
        <v>0.0</v>
      </c>
      <c r="X178" s="54">
        <v>0.0</v>
      </c>
      <c r="Y178" s="54">
        <v>0.0</v>
      </c>
      <c r="Z178" s="54">
        <v>0.0</v>
      </c>
      <c r="AA178" s="54">
        <v>0.0</v>
      </c>
      <c r="AB178" s="54">
        <v>0.0</v>
      </c>
      <c r="AC178" s="55">
        <v>0.0</v>
      </c>
      <c r="AD178" s="54">
        <v>0.0</v>
      </c>
      <c r="AE178" s="54">
        <v>0.0</v>
      </c>
      <c r="AF178" s="54">
        <v>0.0</v>
      </c>
      <c r="AG178" s="54">
        <v>0.0</v>
      </c>
      <c r="AH178" s="54">
        <v>0.0</v>
      </c>
      <c r="AI178" s="54">
        <v>0.0</v>
      </c>
      <c r="AJ178" s="54">
        <v>0.0</v>
      </c>
      <c r="AK178" s="54">
        <v>0.0</v>
      </c>
      <c r="AL178" s="54">
        <v>0.0</v>
      </c>
      <c r="AM178" s="54">
        <v>0.0</v>
      </c>
      <c r="AN178" s="54">
        <v>0.0</v>
      </c>
      <c r="AO178" s="54">
        <v>4.0</v>
      </c>
      <c r="AP178" s="7">
        <v>4.0</v>
      </c>
      <c r="AQ178" s="7">
        <v>0.0</v>
      </c>
      <c r="AR178" s="7">
        <v>0.0</v>
      </c>
      <c r="AS178" s="7">
        <v>0.0</v>
      </c>
      <c r="AT178" s="7">
        <v>0.0</v>
      </c>
      <c r="AU178" s="7">
        <v>0.0</v>
      </c>
      <c r="AV178" s="7">
        <v>0.0</v>
      </c>
      <c r="AW178" s="7">
        <v>0.0</v>
      </c>
      <c r="AX178" s="7">
        <v>0.0</v>
      </c>
      <c r="AY178" s="7">
        <v>0.0</v>
      </c>
      <c r="AZ178" s="7">
        <v>0.0</v>
      </c>
      <c r="BA178" s="7">
        <v>0.0</v>
      </c>
      <c r="BB178" s="7">
        <v>0.0</v>
      </c>
      <c r="BC178" s="7">
        <v>0.0</v>
      </c>
      <c r="BD178" s="7">
        <v>0.0</v>
      </c>
      <c r="BE178" s="7">
        <v>0.0</v>
      </c>
      <c r="BF178" s="7">
        <v>0.0</v>
      </c>
      <c r="BG178" s="7">
        <v>0.0</v>
      </c>
      <c r="BH178" s="7">
        <v>0.0</v>
      </c>
      <c r="BI178" s="7">
        <v>0.0</v>
      </c>
      <c r="BJ178" s="8">
        <v>0.0</v>
      </c>
    </row>
    <row r="179" ht="15.75" customHeight="1">
      <c r="A179" s="85" t="s">
        <v>150</v>
      </c>
      <c r="B179" s="54">
        <v>0.0</v>
      </c>
      <c r="C179" s="54">
        <v>0.0</v>
      </c>
      <c r="D179" s="54">
        <v>0.0</v>
      </c>
      <c r="E179" s="54">
        <v>0.0</v>
      </c>
      <c r="F179" s="54">
        <v>0.0</v>
      </c>
      <c r="G179" s="54">
        <v>0.0</v>
      </c>
      <c r="H179" s="54">
        <v>0.0</v>
      </c>
      <c r="I179" s="54">
        <v>0.0</v>
      </c>
      <c r="J179" s="54">
        <v>0.0</v>
      </c>
      <c r="K179" s="54">
        <v>0.0</v>
      </c>
      <c r="L179" s="54">
        <v>0.0</v>
      </c>
      <c r="M179" s="54">
        <v>0.0</v>
      </c>
      <c r="N179" s="54">
        <v>0.0</v>
      </c>
      <c r="O179" s="54">
        <v>0.0</v>
      </c>
      <c r="P179" s="54">
        <v>0.0</v>
      </c>
      <c r="Q179" s="54">
        <v>0.0</v>
      </c>
      <c r="R179" s="54">
        <v>0.0</v>
      </c>
      <c r="S179" s="54">
        <v>0.0</v>
      </c>
      <c r="T179" s="54">
        <v>0.0</v>
      </c>
      <c r="U179" s="54">
        <v>0.0</v>
      </c>
      <c r="V179" s="54">
        <v>0.0</v>
      </c>
      <c r="W179" s="54">
        <v>0.0</v>
      </c>
      <c r="X179" s="54">
        <v>0.0</v>
      </c>
      <c r="Y179" s="54">
        <v>0.0</v>
      </c>
      <c r="Z179" s="54">
        <v>0.0</v>
      </c>
      <c r="AA179" s="54">
        <v>0.0</v>
      </c>
      <c r="AB179" s="54">
        <v>0.0</v>
      </c>
      <c r="AC179" s="55">
        <v>0.0</v>
      </c>
      <c r="AD179" s="54">
        <v>0.0</v>
      </c>
      <c r="AE179" s="54">
        <v>0.0</v>
      </c>
      <c r="AF179" s="54">
        <v>0.0</v>
      </c>
      <c r="AG179" s="54">
        <v>0.0</v>
      </c>
      <c r="AH179" s="54">
        <v>0.0</v>
      </c>
      <c r="AI179" s="54">
        <v>0.0</v>
      </c>
      <c r="AJ179" s="54">
        <v>0.0</v>
      </c>
      <c r="AK179" s="54">
        <v>0.0</v>
      </c>
      <c r="AL179" s="54">
        <v>0.0</v>
      </c>
      <c r="AM179" s="54">
        <v>0.0</v>
      </c>
      <c r="AN179" s="54">
        <v>0.0</v>
      </c>
      <c r="AO179" s="54">
        <v>0.0</v>
      </c>
      <c r="AP179" s="54">
        <v>0.0</v>
      </c>
      <c r="AQ179" s="54">
        <v>0.0</v>
      </c>
      <c r="AR179" s="54">
        <v>0.0</v>
      </c>
      <c r="AS179" s="54">
        <v>3.0</v>
      </c>
      <c r="AT179" s="7">
        <v>0.0</v>
      </c>
      <c r="AU179" s="7">
        <v>0.0</v>
      </c>
      <c r="AV179" s="7">
        <v>0.0</v>
      </c>
      <c r="AW179" s="7">
        <v>0.0</v>
      </c>
      <c r="AX179" s="7">
        <v>0.0</v>
      </c>
      <c r="AY179" s="7">
        <v>0.0</v>
      </c>
      <c r="AZ179" s="7">
        <v>0.0</v>
      </c>
      <c r="BA179" s="7">
        <v>0.0</v>
      </c>
      <c r="BB179" s="7">
        <v>0.0</v>
      </c>
      <c r="BC179" s="7">
        <v>0.0</v>
      </c>
      <c r="BD179" s="7">
        <v>0.0</v>
      </c>
      <c r="BE179" s="7">
        <v>0.0</v>
      </c>
      <c r="BF179" s="7">
        <v>0.0</v>
      </c>
      <c r="BG179" s="7">
        <v>0.0</v>
      </c>
      <c r="BH179" s="7">
        <v>0.0</v>
      </c>
      <c r="BI179" s="7">
        <v>0.0</v>
      </c>
      <c r="BJ179" s="8">
        <v>0.0</v>
      </c>
    </row>
    <row r="180" ht="15.75" customHeight="1">
      <c r="A180" s="85" t="s">
        <v>151</v>
      </c>
      <c r="B180" s="54">
        <v>0.0</v>
      </c>
      <c r="C180" s="54">
        <v>0.0</v>
      </c>
      <c r="D180" s="54">
        <v>0.0</v>
      </c>
      <c r="E180" s="54">
        <v>0.0</v>
      </c>
      <c r="F180" s="54">
        <v>0.0</v>
      </c>
      <c r="G180" s="54">
        <v>0.0</v>
      </c>
      <c r="H180" s="54">
        <v>0.0</v>
      </c>
      <c r="I180" s="54">
        <v>0.0</v>
      </c>
      <c r="J180" s="54">
        <v>0.0</v>
      </c>
      <c r="K180" s="54">
        <v>0.0</v>
      </c>
      <c r="L180" s="54">
        <v>0.0</v>
      </c>
      <c r="M180" s="54">
        <v>0.0</v>
      </c>
      <c r="N180" s="54">
        <v>0.0</v>
      </c>
      <c r="O180" s="54">
        <v>0.0</v>
      </c>
      <c r="P180" s="54">
        <v>0.0</v>
      </c>
      <c r="Q180" s="54">
        <v>0.0</v>
      </c>
      <c r="R180" s="54">
        <v>0.0</v>
      </c>
      <c r="S180" s="54">
        <v>0.0</v>
      </c>
      <c r="T180" s="54">
        <v>0.0</v>
      </c>
      <c r="U180" s="54">
        <v>0.0</v>
      </c>
      <c r="V180" s="54">
        <v>0.0</v>
      </c>
      <c r="W180" s="54">
        <v>0.0</v>
      </c>
      <c r="X180" s="54">
        <v>0.0</v>
      </c>
      <c r="Y180" s="54">
        <v>0.0</v>
      </c>
      <c r="Z180" s="54">
        <v>0.0</v>
      </c>
      <c r="AA180" s="54">
        <v>0.0</v>
      </c>
      <c r="AB180" s="54">
        <v>0.0</v>
      </c>
      <c r="AC180" s="55">
        <v>0.0</v>
      </c>
      <c r="AD180" s="54">
        <v>0.0</v>
      </c>
      <c r="AE180" s="54">
        <v>0.0</v>
      </c>
      <c r="AF180" s="54">
        <v>0.0</v>
      </c>
      <c r="AG180" s="54">
        <v>0.0</v>
      </c>
      <c r="AH180" s="54">
        <v>0.0</v>
      </c>
      <c r="AI180" s="54">
        <v>0.0</v>
      </c>
      <c r="AJ180" s="54">
        <v>0.0</v>
      </c>
      <c r="AK180" s="54">
        <v>0.0</v>
      </c>
      <c r="AL180" s="54">
        <v>0.0</v>
      </c>
      <c r="AM180" s="54">
        <v>0.0</v>
      </c>
      <c r="AN180" s="54">
        <v>0.0</v>
      </c>
      <c r="AO180" s="54">
        <v>0.0</v>
      </c>
      <c r="AP180" s="54">
        <v>0.0</v>
      </c>
      <c r="AQ180" s="54">
        <v>0.0</v>
      </c>
      <c r="AR180" s="54">
        <v>0.0</v>
      </c>
      <c r="AS180" s="54">
        <v>3.0</v>
      </c>
      <c r="AT180" s="54">
        <v>1.0</v>
      </c>
      <c r="AU180" s="54">
        <v>1.0</v>
      </c>
      <c r="AV180" s="7">
        <v>0.0</v>
      </c>
      <c r="AW180" s="7">
        <v>0.0</v>
      </c>
      <c r="AX180" s="7">
        <v>0.0</v>
      </c>
      <c r="AY180" s="7">
        <v>0.0</v>
      </c>
      <c r="AZ180" s="7">
        <v>0.0</v>
      </c>
      <c r="BA180" s="7">
        <v>0.0</v>
      </c>
      <c r="BB180" s="7">
        <v>0.0</v>
      </c>
      <c r="BC180" s="7">
        <v>0.0</v>
      </c>
      <c r="BD180" s="7">
        <v>0.0</v>
      </c>
      <c r="BE180" s="7">
        <v>0.0</v>
      </c>
      <c r="BF180" s="7">
        <v>0.0</v>
      </c>
      <c r="BG180" s="7">
        <v>0.0</v>
      </c>
      <c r="BH180" s="7">
        <v>0.0</v>
      </c>
      <c r="BI180" s="7">
        <v>0.0</v>
      </c>
      <c r="BJ180" s="8">
        <v>0.0</v>
      </c>
    </row>
    <row r="181" ht="15.75" customHeight="1">
      <c r="A181" s="85" t="s">
        <v>152</v>
      </c>
      <c r="B181" s="54">
        <v>0.0</v>
      </c>
      <c r="C181" s="54">
        <v>0.0</v>
      </c>
      <c r="D181" s="54">
        <v>0.0</v>
      </c>
      <c r="E181" s="54">
        <v>0.0</v>
      </c>
      <c r="F181" s="54">
        <v>0.0</v>
      </c>
      <c r="G181" s="54">
        <v>0.0</v>
      </c>
      <c r="H181" s="54">
        <v>0.0</v>
      </c>
      <c r="I181" s="54">
        <v>0.0</v>
      </c>
      <c r="J181" s="54">
        <v>0.0</v>
      </c>
      <c r="K181" s="54">
        <v>0.0</v>
      </c>
      <c r="L181" s="54">
        <v>0.0</v>
      </c>
      <c r="M181" s="54">
        <v>0.0</v>
      </c>
      <c r="N181" s="54">
        <v>0.0</v>
      </c>
      <c r="O181" s="54">
        <v>0.0</v>
      </c>
      <c r="P181" s="54">
        <v>0.0</v>
      </c>
      <c r="Q181" s="54">
        <v>0.0</v>
      </c>
      <c r="R181" s="54">
        <v>0.0</v>
      </c>
      <c r="S181" s="54">
        <v>0.0</v>
      </c>
      <c r="T181" s="54">
        <v>0.0</v>
      </c>
      <c r="U181" s="54">
        <v>0.0</v>
      </c>
      <c r="V181" s="54">
        <v>0.0</v>
      </c>
      <c r="W181" s="54">
        <v>0.0</v>
      </c>
      <c r="X181" s="54">
        <v>0.0</v>
      </c>
      <c r="Y181" s="54">
        <v>0.0</v>
      </c>
      <c r="Z181" s="54">
        <v>0.0</v>
      </c>
      <c r="AA181" s="54">
        <v>0.0</v>
      </c>
      <c r="AB181" s="54">
        <v>0.0</v>
      </c>
      <c r="AC181" s="55">
        <v>0.0</v>
      </c>
      <c r="AD181" s="54">
        <v>0.0</v>
      </c>
      <c r="AE181" s="54">
        <v>0.0</v>
      </c>
      <c r="AF181" s="54">
        <v>0.0</v>
      </c>
      <c r="AG181" s="54">
        <v>0.0</v>
      </c>
      <c r="AH181" s="54">
        <v>0.0</v>
      </c>
      <c r="AI181" s="54">
        <v>0.0</v>
      </c>
      <c r="AJ181" s="54">
        <v>0.0</v>
      </c>
      <c r="AK181" s="54">
        <v>0.0</v>
      </c>
      <c r="AL181" s="54">
        <v>0.0</v>
      </c>
      <c r="AM181" s="54">
        <v>0.0</v>
      </c>
      <c r="AN181" s="54">
        <v>0.0</v>
      </c>
      <c r="AO181" s="54">
        <v>0.0</v>
      </c>
      <c r="AP181" s="54">
        <v>0.0</v>
      </c>
      <c r="AQ181" s="54">
        <v>0.0</v>
      </c>
      <c r="AR181" s="54">
        <v>0.0</v>
      </c>
      <c r="AS181" s="54">
        <v>0.0</v>
      </c>
      <c r="AT181" s="54">
        <v>0.0</v>
      </c>
      <c r="AU181" s="54">
        <v>1.0</v>
      </c>
      <c r="AV181" s="54">
        <v>3.0</v>
      </c>
      <c r="AW181" s="7">
        <v>0.0</v>
      </c>
      <c r="AX181" s="7">
        <v>0.0</v>
      </c>
      <c r="AY181" s="7">
        <v>0.0</v>
      </c>
      <c r="AZ181" s="7">
        <v>0.0</v>
      </c>
      <c r="BA181" s="7">
        <v>0.0</v>
      </c>
      <c r="BB181" s="7">
        <v>0.0</v>
      </c>
      <c r="BC181" s="7">
        <v>0.0</v>
      </c>
      <c r="BD181" s="7">
        <v>0.0</v>
      </c>
      <c r="BE181" s="7">
        <v>0.0</v>
      </c>
      <c r="BF181" s="7">
        <v>0.0</v>
      </c>
      <c r="BG181" s="7">
        <v>0.0</v>
      </c>
      <c r="BH181" s="7">
        <v>0.0</v>
      </c>
      <c r="BI181" s="7">
        <v>0.0</v>
      </c>
      <c r="BJ181" s="8">
        <v>0.0</v>
      </c>
    </row>
    <row r="182" ht="15.75" customHeight="1">
      <c r="A182" s="85" t="s">
        <v>153</v>
      </c>
      <c r="B182" s="54">
        <v>0.0</v>
      </c>
      <c r="C182" s="54">
        <v>0.0</v>
      </c>
      <c r="D182" s="54">
        <v>0.0</v>
      </c>
      <c r="E182" s="54">
        <v>0.0</v>
      </c>
      <c r="F182" s="54">
        <v>0.0</v>
      </c>
      <c r="G182" s="54">
        <v>0.0</v>
      </c>
      <c r="H182" s="54">
        <v>0.0</v>
      </c>
      <c r="I182" s="54">
        <v>0.0</v>
      </c>
      <c r="J182" s="54">
        <v>0.0</v>
      </c>
      <c r="K182" s="54">
        <v>0.0</v>
      </c>
      <c r="L182" s="54">
        <v>0.0</v>
      </c>
      <c r="M182" s="54">
        <v>0.0</v>
      </c>
      <c r="N182" s="54">
        <v>0.0</v>
      </c>
      <c r="O182" s="54">
        <v>0.0</v>
      </c>
      <c r="P182" s="54">
        <v>0.0</v>
      </c>
      <c r="Q182" s="54">
        <v>0.0</v>
      </c>
      <c r="R182" s="54">
        <v>0.0</v>
      </c>
      <c r="S182" s="54">
        <v>0.0</v>
      </c>
      <c r="T182" s="54">
        <v>0.0</v>
      </c>
      <c r="U182" s="54">
        <v>0.0</v>
      </c>
      <c r="V182" s="54">
        <v>0.0</v>
      </c>
      <c r="W182" s="54">
        <v>0.0</v>
      </c>
      <c r="X182" s="54">
        <v>0.0</v>
      </c>
      <c r="Y182" s="54">
        <v>0.0</v>
      </c>
      <c r="Z182" s="54">
        <v>0.0</v>
      </c>
      <c r="AA182" s="54">
        <v>0.0</v>
      </c>
      <c r="AB182" s="54">
        <v>0.0</v>
      </c>
      <c r="AC182" s="55">
        <v>0.0</v>
      </c>
      <c r="AD182" s="54">
        <v>0.0</v>
      </c>
      <c r="AE182" s="54">
        <v>0.0</v>
      </c>
      <c r="AF182" s="54">
        <v>0.0</v>
      </c>
      <c r="AG182" s="54">
        <v>0.0</v>
      </c>
      <c r="AH182" s="54">
        <v>0.0</v>
      </c>
      <c r="AI182" s="54">
        <v>0.0</v>
      </c>
      <c r="AJ182" s="54">
        <v>0.0</v>
      </c>
      <c r="AK182" s="54">
        <v>0.0</v>
      </c>
      <c r="AL182" s="54">
        <v>0.0</v>
      </c>
      <c r="AM182" s="54">
        <v>0.0</v>
      </c>
      <c r="AN182" s="54">
        <v>0.0</v>
      </c>
      <c r="AO182" s="54">
        <v>0.0</v>
      </c>
      <c r="AP182" s="54">
        <v>0.0</v>
      </c>
      <c r="AQ182" s="54">
        <v>0.0</v>
      </c>
      <c r="AR182" s="54">
        <v>0.0</v>
      </c>
      <c r="AS182" s="54">
        <v>0.0</v>
      </c>
      <c r="AT182" s="54">
        <v>0.0</v>
      </c>
      <c r="AU182" s="54">
        <v>0.0</v>
      </c>
      <c r="AV182" s="54">
        <v>0.0</v>
      </c>
      <c r="AW182" s="54">
        <v>1.0</v>
      </c>
      <c r="AX182" s="7">
        <v>0.0</v>
      </c>
      <c r="AY182" s="7">
        <v>0.0</v>
      </c>
      <c r="AZ182" s="7">
        <v>0.0</v>
      </c>
      <c r="BA182" s="7">
        <v>0.0</v>
      </c>
      <c r="BB182" s="7">
        <v>0.0</v>
      </c>
      <c r="BC182" s="7">
        <v>0.0</v>
      </c>
      <c r="BD182" s="7">
        <v>0.0</v>
      </c>
      <c r="BE182" s="7">
        <v>0.0</v>
      </c>
      <c r="BF182" s="7">
        <v>0.0</v>
      </c>
      <c r="BG182" s="7">
        <v>0.0</v>
      </c>
      <c r="BH182" s="7">
        <v>0.0</v>
      </c>
      <c r="BI182" s="7">
        <v>0.0</v>
      </c>
      <c r="BJ182" s="8">
        <v>0.0</v>
      </c>
    </row>
    <row r="183" ht="15.75" customHeight="1">
      <c r="A183" s="86" t="s">
        <v>154</v>
      </c>
      <c r="B183" s="58">
        <v>0.0</v>
      </c>
      <c r="C183" s="58">
        <v>0.0</v>
      </c>
      <c r="D183" s="58">
        <v>0.0</v>
      </c>
      <c r="E183" s="58">
        <v>0.0</v>
      </c>
      <c r="F183" s="58">
        <v>0.0</v>
      </c>
      <c r="G183" s="58">
        <v>0.0</v>
      </c>
      <c r="H183" s="58">
        <v>0.0</v>
      </c>
      <c r="I183" s="58">
        <v>0.0</v>
      </c>
      <c r="J183" s="58">
        <v>0.0</v>
      </c>
      <c r="K183" s="58">
        <v>0.0</v>
      </c>
      <c r="L183" s="58">
        <v>0.0</v>
      </c>
      <c r="M183" s="58">
        <v>0.0</v>
      </c>
      <c r="N183" s="58">
        <v>0.0</v>
      </c>
      <c r="O183" s="58">
        <v>0.0</v>
      </c>
      <c r="P183" s="58">
        <v>0.0</v>
      </c>
      <c r="Q183" s="58">
        <v>0.0</v>
      </c>
      <c r="R183" s="58">
        <v>0.0</v>
      </c>
      <c r="S183" s="58">
        <v>0.0</v>
      </c>
      <c r="T183" s="58">
        <v>0.0</v>
      </c>
      <c r="U183" s="58">
        <v>0.0</v>
      </c>
      <c r="V183" s="58">
        <v>0.0</v>
      </c>
      <c r="W183" s="58">
        <v>0.0</v>
      </c>
      <c r="X183" s="58">
        <v>0.0</v>
      </c>
      <c r="Y183" s="58">
        <v>0.0</v>
      </c>
      <c r="Z183" s="58">
        <v>0.0</v>
      </c>
      <c r="AA183" s="58">
        <v>0.0</v>
      </c>
      <c r="AB183" s="58">
        <v>0.0</v>
      </c>
      <c r="AC183" s="59">
        <v>0.0</v>
      </c>
      <c r="AD183" s="58">
        <v>0.0</v>
      </c>
      <c r="AE183" s="58">
        <v>0.0</v>
      </c>
      <c r="AF183" s="58">
        <v>0.0</v>
      </c>
      <c r="AG183" s="58">
        <v>0.0</v>
      </c>
      <c r="AH183" s="58">
        <v>0.0</v>
      </c>
      <c r="AI183" s="58">
        <v>0.0</v>
      </c>
      <c r="AJ183" s="58">
        <v>0.0</v>
      </c>
      <c r="AK183" s="58">
        <v>0.0</v>
      </c>
      <c r="AL183" s="58">
        <v>0.0</v>
      </c>
      <c r="AM183" s="58">
        <v>0.0</v>
      </c>
      <c r="AN183" s="58">
        <v>0.0</v>
      </c>
      <c r="AO183" s="58">
        <v>0.0</v>
      </c>
      <c r="AP183" s="58">
        <v>0.0</v>
      </c>
      <c r="AQ183" s="58">
        <v>0.0</v>
      </c>
      <c r="AR183" s="58">
        <v>0.0</v>
      </c>
      <c r="AS183" s="58">
        <v>0.0</v>
      </c>
      <c r="AT183" s="58">
        <v>0.0</v>
      </c>
      <c r="AU183" s="58">
        <v>0.0</v>
      </c>
      <c r="AV183" s="58">
        <v>0.0</v>
      </c>
      <c r="AW183" s="58">
        <v>0.0</v>
      </c>
      <c r="AX183" s="58">
        <v>1.0</v>
      </c>
      <c r="AY183" s="45">
        <v>0.0</v>
      </c>
      <c r="AZ183" s="45">
        <v>0.0</v>
      </c>
      <c r="BA183" s="45">
        <v>0.0</v>
      </c>
      <c r="BB183" s="45">
        <v>0.0</v>
      </c>
      <c r="BC183" s="45">
        <v>0.0</v>
      </c>
      <c r="BD183" s="45">
        <v>0.0</v>
      </c>
      <c r="BE183" s="45">
        <v>0.0</v>
      </c>
      <c r="BF183" s="45">
        <v>0.0</v>
      </c>
      <c r="BG183" s="45">
        <v>0.0</v>
      </c>
      <c r="BH183" s="45">
        <v>0.0</v>
      </c>
      <c r="BI183" s="45">
        <v>0.0</v>
      </c>
      <c r="BJ183" s="46">
        <v>0.0</v>
      </c>
    </row>
    <row r="184" ht="15.75" customHeight="1">
      <c r="A184" s="78" t="s">
        <v>60</v>
      </c>
      <c r="B184" s="54">
        <v>0.0</v>
      </c>
      <c r="C184" s="54">
        <v>0.0</v>
      </c>
      <c r="D184" s="54">
        <v>0.0</v>
      </c>
      <c r="E184" s="54">
        <v>0.0</v>
      </c>
      <c r="F184" s="54">
        <v>0.0</v>
      </c>
      <c r="G184" s="54">
        <v>0.0</v>
      </c>
      <c r="H184" s="54">
        <v>0.0</v>
      </c>
      <c r="I184" s="54">
        <v>0.0</v>
      </c>
      <c r="J184" s="54">
        <v>0.0</v>
      </c>
      <c r="K184" s="54">
        <v>0.0</v>
      </c>
      <c r="L184" s="54">
        <v>0.0</v>
      </c>
      <c r="M184" s="54">
        <v>0.0</v>
      </c>
      <c r="N184" s="54">
        <v>0.0</v>
      </c>
      <c r="O184" s="54">
        <v>0.0</v>
      </c>
      <c r="P184" s="54">
        <v>0.0</v>
      </c>
      <c r="Q184" s="54">
        <v>0.0</v>
      </c>
      <c r="R184" s="54">
        <v>0.0</v>
      </c>
      <c r="S184" s="54">
        <v>0.0</v>
      </c>
      <c r="T184" s="54">
        <v>0.0</v>
      </c>
      <c r="U184" s="54">
        <v>0.0</v>
      </c>
      <c r="V184" s="54">
        <v>0.0</v>
      </c>
      <c r="W184" s="54">
        <v>0.0</v>
      </c>
      <c r="X184" s="54">
        <v>0.0</v>
      </c>
      <c r="Y184" s="54">
        <v>0.0</v>
      </c>
      <c r="Z184" s="54">
        <v>0.0</v>
      </c>
      <c r="AA184" s="54">
        <v>0.0</v>
      </c>
      <c r="AB184" s="54">
        <v>0.0</v>
      </c>
      <c r="AC184" s="55">
        <v>0.0</v>
      </c>
      <c r="AD184" s="54">
        <v>0.0</v>
      </c>
      <c r="AE184" s="54">
        <v>0.0</v>
      </c>
      <c r="AF184" s="54">
        <v>0.0</v>
      </c>
      <c r="AG184" s="54">
        <v>0.0</v>
      </c>
      <c r="AH184" s="54">
        <v>0.0</v>
      </c>
      <c r="AI184" s="54">
        <v>0.0</v>
      </c>
      <c r="AJ184" s="54">
        <v>0.0</v>
      </c>
      <c r="AK184" s="54">
        <v>0.0</v>
      </c>
      <c r="AL184" s="54">
        <v>0.0</v>
      </c>
      <c r="AM184" s="54">
        <v>0.0</v>
      </c>
      <c r="AN184" s="54">
        <v>0.0</v>
      </c>
      <c r="AO184" s="54">
        <v>3.0</v>
      </c>
      <c r="AP184" s="54">
        <v>5.0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  <c r="AV184" s="7">
        <v>0.0</v>
      </c>
      <c r="AW184" s="7">
        <v>0.0</v>
      </c>
      <c r="AX184" s="7">
        <v>0.0</v>
      </c>
      <c r="AY184" s="7">
        <v>0.0</v>
      </c>
      <c r="AZ184" s="7">
        <v>0.0</v>
      </c>
      <c r="BA184" s="7">
        <v>0.0</v>
      </c>
      <c r="BB184" s="7">
        <v>0.0</v>
      </c>
      <c r="BC184" s="7">
        <v>0.0</v>
      </c>
      <c r="BD184" s="7">
        <v>0.0</v>
      </c>
      <c r="BE184" s="7">
        <v>0.0</v>
      </c>
      <c r="BF184" s="7">
        <v>0.0</v>
      </c>
      <c r="BG184" s="7">
        <v>0.0</v>
      </c>
      <c r="BH184" s="7">
        <v>0.0</v>
      </c>
      <c r="BI184" s="7">
        <v>0.0</v>
      </c>
      <c r="BJ184" s="8">
        <v>0.0</v>
      </c>
    </row>
    <row r="185" ht="15.75" customHeight="1">
      <c r="A185" s="79" t="s">
        <v>155</v>
      </c>
      <c r="B185" s="54">
        <v>0.0</v>
      </c>
      <c r="C185" s="54">
        <v>0.0</v>
      </c>
      <c r="D185" s="54">
        <v>0.0</v>
      </c>
      <c r="E185" s="54">
        <v>0.0</v>
      </c>
      <c r="F185" s="54">
        <v>0.0</v>
      </c>
      <c r="G185" s="54">
        <v>0.0</v>
      </c>
      <c r="H185" s="54">
        <v>0.0</v>
      </c>
      <c r="I185" s="54">
        <v>0.0</v>
      </c>
      <c r="J185" s="54">
        <v>0.0</v>
      </c>
      <c r="K185" s="54">
        <v>0.0</v>
      </c>
      <c r="L185" s="54">
        <v>0.0</v>
      </c>
      <c r="M185" s="54">
        <v>0.0</v>
      </c>
      <c r="N185" s="54">
        <v>0.0</v>
      </c>
      <c r="O185" s="54">
        <v>0.0</v>
      </c>
      <c r="P185" s="54">
        <v>0.0</v>
      </c>
      <c r="Q185" s="54">
        <v>0.0</v>
      </c>
      <c r="R185" s="54">
        <v>0.0</v>
      </c>
      <c r="S185" s="54">
        <v>0.0</v>
      </c>
      <c r="T185" s="54">
        <v>0.0</v>
      </c>
      <c r="U185" s="54">
        <v>0.0</v>
      </c>
      <c r="V185" s="54">
        <v>0.0</v>
      </c>
      <c r="W185" s="54">
        <v>0.0</v>
      </c>
      <c r="X185" s="54">
        <v>0.0</v>
      </c>
      <c r="Y185" s="54">
        <v>0.0</v>
      </c>
      <c r="Z185" s="54">
        <v>0.0</v>
      </c>
      <c r="AA185" s="54">
        <v>0.0</v>
      </c>
      <c r="AB185" s="54">
        <v>0.0</v>
      </c>
      <c r="AC185" s="55">
        <v>0.0</v>
      </c>
      <c r="AD185" s="54">
        <v>0.0</v>
      </c>
      <c r="AE185" s="54">
        <v>0.0</v>
      </c>
      <c r="AF185" s="54">
        <v>0.0</v>
      </c>
      <c r="AG185" s="54">
        <v>0.0</v>
      </c>
      <c r="AH185" s="54">
        <v>0.0</v>
      </c>
      <c r="AI185" s="54">
        <v>0.0</v>
      </c>
      <c r="AJ185" s="54">
        <v>0.0</v>
      </c>
      <c r="AK185" s="54">
        <v>0.0</v>
      </c>
      <c r="AL185" s="54">
        <v>0.0</v>
      </c>
      <c r="AM185" s="54">
        <v>0.0</v>
      </c>
      <c r="AN185" s="54">
        <v>0.0</v>
      </c>
      <c r="AO185" s="54">
        <v>0.0</v>
      </c>
      <c r="AP185" s="54">
        <v>0.0</v>
      </c>
      <c r="AQ185" s="54">
        <v>0.0</v>
      </c>
      <c r="AR185" s="54">
        <v>0.0</v>
      </c>
      <c r="AS185" s="54">
        <v>3.0</v>
      </c>
      <c r="AT185" s="7">
        <v>0.0</v>
      </c>
      <c r="AU185" s="7">
        <v>0.0</v>
      </c>
      <c r="AV185" s="7">
        <v>0.0</v>
      </c>
      <c r="AW185" s="7">
        <v>0.0</v>
      </c>
      <c r="AX185" s="7">
        <v>0.0</v>
      </c>
      <c r="AY185" s="7">
        <v>0.0</v>
      </c>
      <c r="AZ185" s="7">
        <v>0.0</v>
      </c>
      <c r="BA185" s="7">
        <v>0.0</v>
      </c>
      <c r="BB185" s="7">
        <v>0.0</v>
      </c>
      <c r="BC185" s="7">
        <v>0.0</v>
      </c>
      <c r="BD185" s="7">
        <v>0.0</v>
      </c>
      <c r="BE185" s="7">
        <v>0.0</v>
      </c>
      <c r="BF185" s="7">
        <v>0.0</v>
      </c>
      <c r="BG185" s="7">
        <v>0.0</v>
      </c>
      <c r="BH185" s="7">
        <v>0.0</v>
      </c>
      <c r="BI185" s="7">
        <v>0.0</v>
      </c>
      <c r="BJ185" s="8">
        <v>0.0</v>
      </c>
    </row>
    <row r="186" ht="15.75" customHeight="1">
      <c r="A186" s="79" t="s">
        <v>156</v>
      </c>
      <c r="B186" s="54">
        <v>0.0</v>
      </c>
      <c r="C186" s="54">
        <v>0.0</v>
      </c>
      <c r="D186" s="54">
        <v>0.0</v>
      </c>
      <c r="E186" s="54">
        <v>0.0</v>
      </c>
      <c r="F186" s="54">
        <v>0.0</v>
      </c>
      <c r="G186" s="54">
        <v>0.0</v>
      </c>
      <c r="H186" s="54">
        <v>0.0</v>
      </c>
      <c r="I186" s="54">
        <v>0.0</v>
      </c>
      <c r="J186" s="54">
        <v>0.0</v>
      </c>
      <c r="K186" s="54">
        <v>0.0</v>
      </c>
      <c r="L186" s="54">
        <v>0.0</v>
      </c>
      <c r="M186" s="54">
        <v>0.0</v>
      </c>
      <c r="N186" s="54">
        <v>0.0</v>
      </c>
      <c r="O186" s="54">
        <v>0.0</v>
      </c>
      <c r="P186" s="54">
        <v>0.0</v>
      </c>
      <c r="Q186" s="54">
        <v>0.0</v>
      </c>
      <c r="R186" s="54">
        <v>0.0</v>
      </c>
      <c r="S186" s="54">
        <v>0.0</v>
      </c>
      <c r="T186" s="54">
        <v>0.0</v>
      </c>
      <c r="U186" s="54">
        <v>0.0</v>
      </c>
      <c r="V186" s="54">
        <v>0.0</v>
      </c>
      <c r="W186" s="54">
        <v>0.0</v>
      </c>
      <c r="X186" s="54">
        <v>0.0</v>
      </c>
      <c r="Y186" s="54">
        <v>0.0</v>
      </c>
      <c r="Z186" s="54">
        <v>0.0</v>
      </c>
      <c r="AA186" s="54">
        <v>0.0</v>
      </c>
      <c r="AB186" s="54">
        <v>0.0</v>
      </c>
      <c r="AC186" s="55">
        <v>0.0</v>
      </c>
      <c r="AD186" s="54">
        <v>0.0</v>
      </c>
      <c r="AE186" s="54">
        <v>0.0</v>
      </c>
      <c r="AF186" s="54">
        <v>0.0</v>
      </c>
      <c r="AG186" s="54">
        <v>0.0</v>
      </c>
      <c r="AH186" s="54">
        <v>0.0</v>
      </c>
      <c r="AI186" s="54">
        <v>0.0</v>
      </c>
      <c r="AJ186" s="54">
        <v>0.0</v>
      </c>
      <c r="AK186" s="54">
        <v>0.0</v>
      </c>
      <c r="AL186" s="54">
        <v>0.0</v>
      </c>
      <c r="AM186" s="54">
        <v>0.0</v>
      </c>
      <c r="AN186" s="54">
        <v>0.0</v>
      </c>
      <c r="AO186" s="54">
        <v>0.0</v>
      </c>
      <c r="AP186" s="54">
        <v>0.0</v>
      </c>
      <c r="AQ186" s="54">
        <v>0.0</v>
      </c>
      <c r="AR186" s="54">
        <v>0.0</v>
      </c>
      <c r="AS186" s="54">
        <v>1.0</v>
      </c>
      <c r="AT186" s="54">
        <v>4.0</v>
      </c>
      <c r="AU186" s="7">
        <v>0.0</v>
      </c>
      <c r="AV186" s="7">
        <v>0.0</v>
      </c>
      <c r="AW186" s="7">
        <v>0.0</v>
      </c>
      <c r="AX186" s="7">
        <v>0.0</v>
      </c>
      <c r="AY186" s="7">
        <v>0.0</v>
      </c>
      <c r="AZ186" s="7">
        <v>0.0</v>
      </c>
      <c r="BA186" s="7">
        <v>0.0</v>
      </c>
      <c r="BB186" s="7">
        <v>0.0</v>
      </c>
      <c r="BC186" s="7">
        <v>0.0</v>
      </c>
      <c r="BD186" s="7">
        <v>0.0</v>
      </c>
      <c r="BE186" s="7">
        <v>0.0</v>
      </c>
      <c r="BF186" s="7">
        <v>0.0</v>
      </c>
      <c r="BG186" s="7">
        <v>0.0</v>
      </c>
      <c r="BH186" s="7">
        <v>0.0</v>
      </c>
      <c r="BI186" s="7">
        <v>0.0</v>
      </c>
      <c r="BJ186" s="8">
        <v>0.0</v>
      </c>
    </row>
    <row r="187" ht="15.75" customHeight="1">
      <c r="A187" s="79" t="s">
        <v>157</v>
      </c>
      <c r="B187" s="54">
        <v>0.0</v>
      </c>
      <c r="C187" s="54">
        <v>0.0</v>
      </c>
      <c r="D187" s="54">
        <v>0.0</v>
      </c>
      <c r="E187" s="54">
        <v>0.0</v>
      </c>
      <c r="F187" s="54">
        <v>0.0</v>
      </c>
      <c r="G187" s="54">
        <v>0.0</v>
      </c>
      <c r="H187" s="54">
        <v>0.0</v>
      </c>
      <c r="I187" s="54">
        <v>0.0</v>
      </c>
      <c r="J187" s="54">
        <v>0.0</v>
      </c>
      <c r="K187" s="54">
        <v>0.0</v>
      </c>
      <c r="L187" s="54">
        <v>0.0</v>
      </c>
      <c r="M187" s="54">
        <v>0.0</v>
      </c>
      <c r="N187" s="54">
        <v>0.0</v>
      </c>
      <c r="O187" s="54">
        <v>0.0</v>
      </c>
      <c r="P187" s="54">
        <v>0.0</v>
      </c>
      <c r="Q187" s="54">
        <v>0.0</v>
      </c>
      <c r="R187" s="54">
        <v>0.0</v>
      </c>
      <c r="S187" s="54">
        <v>0.0</v>
      </c>
      <c r="T187" s="54">
        <v>0.0</v>
      </c>
      <c r="U187" s="54">
        <v>0.0</v>
      </c>
      <c r="V187" s="54">
        <v>0.0</v>
      </c>
      <c r="W187" s="54">
        <v>0.0</v>
      </c>
      <c r="X187" s="54">
        <v>0.0</v>
      </c>
      <c r="Y187" s="54">
        <v>0.0</v>
      </c>
      <c r="Z187" s="54">
        <v>0.0</v>
      </c>
      <c r="AA187" s="54">
        <v>0.0</v>
      </c>
      <c r="AB187" s="54">
        <v>0.0</v>
      </c>
      <c r="AC187" s="55">
        <v>0.0</v>
      </c>
      <c r="AD187" s="54">
        <v>0.0</v>
      </c>
      <c r="AE187" s="54">
        <v>0.0</v>
      </c>
      <c r="AF187" s="54">
        <v>0.0</v>
      </c>
      <c r="AG187" s="54">
        <v>0.0</v>
      </c>
      <c r="AH187" s="54">
        <v>0.0</v>
      </c>
      <c r="AI187" s="54">
        <v>0.0</v>
      </c>
      <c r="AJ187" s="54">
        <v>0.0</v>
      </c>
      <c r="AK187" s="54">
        <v>0.0</v>
      </c>
      <c r="AL187" s="54">
        <v>0.0</v>
      </c>
      <c r="AM187" s="54">
        <v>0.0</v>
      </c>
      <c r="AN187" s="54">
        <v>0.0</v>
      </c>
      <c r="AO187" s="54">
        <v>0.0</v>
      </c>
      <c r="AP187" s="54">
        <v>0.0</v>
      </c>
      <c r="AQ187" s="54">
        <v>0.0</v>
      </c>
      <c r="AR187" s="54">
        <v>0.0</v>
      </c>
      <c r="AS187" s="54">
        <v>0.0</v>
      </c>
      <c r="AT187" s="54">
        <v>3.0</v>
      </c>
      <c r="AU187" s="54">
        <v>1.0</v>
      </c>
      <c r="AV187" s="7">
        <v>0.0</v>
      </c>
      <c r="AW187" s="7">
        <v>0.0</v>
      </c>
      <c r="AX187" s="7">
        <v>0.0</v>
      </c>
      <c r="AY187" s="7">
        <v>0.0</v>
      </c>
      <c r="AZ187" s="7">
        <v>0.0</v>
      </c>
      <c r="BA187" s="7">
        <v>0.0</v>
      </c>
      <c r="BB187" s="7">
        <v>0.0</v>
      </c>
      <c r="BC187" s="7">
        <v>0.0</v>
      </c>
      <c r="BD187" s="7">
        <v>0.0</v>
      </c>
      <c r="BE187" s="7">
        <v>0.0</v>
      </c>
      <c r="BF187" s="7">
        <v>0.0</v>
      </c>
      <c r="BG187" s="7">
        <v>0.0</v>
      </c>
      <c r="BH187" s="7">
        <v>0.0</v>
      </c>
      <c r="BI187" s="7">
        <v>0.0</v>
      </c>
      <c r="BJ187" s="8">
        <v>0.0</v>
      </c>
    </row>
    <row r="188" ht="15.75" customHeight="1">
      <c r="A188" s="80" t="s">
        <v>158</v>
      </c>
      <c r="B188" s="58">
        <v>0.0</v>
      </c>
      <c r="C188" s="58">
        <v>0.0</v>
      </c>
      <c r="D188" s="58">
        <v>0.0</v>
      </c>
      <c r="E188" s="58">
        <v>0.0</v>
      </c>
      <c r="F188" s="58">
        <v>0.0</v>
      </c>
      <c r="G188" s="58">
        <v>0.0</v>
      </c>
      <c r="H188" s="58">
        <v>0.0</v>
      </c>
      <c r="I188" s="58">
        <v>0.0</v>
      </c>
      <c r="J188" s="58">
        <v>0.0</v>
      </c>
      <c r="K188" s="58">
        <v>0.0</v>
      </c>
      <c r="L188" s="58">
        <v>0.0</v>
      </c>
      <c r="M188" s="58">
        <v>0.0</v>
      </c>
      <c r="N188" s="58">
        <v>0.0</v>
      </c>
      <c r="O188" s="58">
        <v>0.0</v>
      </c>
      <c r="P188" s="58">
        <v>0.0</v>
      </c>
      <c r="Q188" s="58">
        <v>0.0</v>
      </c>
      <c r="R188" s="58">
        <v>0.0</v>
      </c>
      <c r="S188" s="58">
        <v>0.0</v>
      </c>
      <c r="T188" s="58">
        <v>0.0</v>
      </c>
      <c r="U188" s="58">
        <v>0.0</v>
      </c>
      <c r="V188" s="58">
        <v>0.0</v>
      </c>
      <c r="W188" s="58">
        <v>0.0</v>
      </c>
      <c r="X188" s="58">
        <v>0.0</v>
      </c>
      <c r="Y188" s="58">
        <v>0.0</v>
      </c>
      <c r="Z188" s="58">
        <v>0.0</v>
      </c>
      <c r="AA188" s="58">
        <v>0.0</v>
      </c>
      <c r="AB188" s="58">
        <v>0.0</v>
      </c>
      <c r="AC188" s="59">
        <v>0.0</v>
      </c>
      <c r="AD188" s="58">
        <v>0.0</v>
      </c>
      <c r="AE188" s="58">
        <v>0.0</v>
      </c>
      <c r="AF188" s="58">
        <v>0.0</v>
      </c>
      <c r="AG188" s="58">
        <v>0.0</v>
      </c>
      <c r="AH188" s="58">
        <v>0.0</v>
      </c>
      <c r="AI188" s="58">
        <v>0.0</v>
      </c>
      <c r="AJ188" s="58">
        <v>0.0</v>
      </c>
      <c r="AK188" s="58">
        <v>0.0</v>
      </c>
      <c r="AL188" s="58">
        <v>0.0</v>
      </c>
      <c r="AM188" s="58">
        <v>0.0</v>
      </c>
      <c r="AN188" s="58">
        <v>0.0</v>
      </c>
      <c r="AO188" s="58">
        <v>0.0</v>
      </c>
      <c r="AP188" s="58">
        <v>0.0</v>
      </c>
      <c r="AQ188" s="58">
        <v>0.0</v>
      </c>
      <c r="AR188" s="58">
        <v>0.0</v>
      </c>
      <c r="AS188" s="58">
        <v>0.0</v>
      </c>
      <c r="AT188" s="58">
        <v>0.0</v>
      </c>
      <c r="AU188" s="58">
        <v>2.0</v>
      </c>
      <c r="AV188" s="58">
        <v>1.0</v>
      </c>
      <c r="AW188" s="45">
        <v>0.0</v>
      </c>
      <c r="AX188" s="45">
        <v>0.0</v>
      </c>
      <c r="AY188" s="45">
        <v>0.0</v>
      </c>
      <c r="AZ188" s="45">
        <v>0.0</v>
      </c>
      <c r="BA188" s="45">
        <v>0.0</v>
      </c>
      <c r="BB188" s="45">
        <v>0.0</v>
      </c>
      <c r="BC188" s="45">
        <v>0.0</v>
      </c>
      <c r="BD188" s="45">
        <v>0.0</v>
      </c>
      <c r="BE188" s="45">
        <v>0.0</v>
      </c>
      <c r="BF188" s="45">
        <v>0.0</v>
      </c>
      <c r="BG188" s="45">
        <v>0.0</v>
      </c>
      <c r="BH188" s="45">
        <v>0.0</v>
      </c>
      <c r="BI188" s="45">
        <v>0.0</v>
      </c>
      <c r="BJ188" s="46">
        <v>0.0</v>
      </c>
    </row>
    <row r="189" ht="15.75" customHeight="1">
      <c r="A189" s="53" t="s">
        <v>60</v>
      </c>
      <c r="B189" s="54">
        <v>0.0</v>
      </c>
      <c r="C189" s="54">
        <v>0.0</v>
      </c>
      <c r="D189" s="54">
        <v>0.0</v>
      </c>
      <c r="E189" s="54">
        <v>0.0</v>
      </c>
      <c r="F189" s="54">
        <v>0.0</v>
      </c>
      <c r="G189" s="54">
        <v>0.0</v>
      </c>
      <c r="H189" s="54">
        <v>0.0</v>
      </c>
      <c r="I189" s="54">
        <v>0.0</v>
      </c>
      <c r="J189" s="54">
        <v>0.0</v>
      </c>
      <c r="K189" s="54">
        <v>0.0</v>
      </c>
      <c r="L189" s="54">
        <v>0.0</v>
      </c>
      <c r="M189" s="54">
        <v>0.0</v>
      </c>
      <c r="N189" s="54">
        <v>0.0</v>
      </c>
      <c r="O189" s="54">
        <v>0.0</v>
      </c>
      <c r="P189" s="54">
        <v>0.0</v>
      </c>
      <c r="Q189" s="54">
        <v>0.0</v>
      </c>
      <c r="R189" s="54">
        <v>0.0</v>
      </c>
      <c r="S189" s="54">
        <v>0.0</v>
      </c>
      <c r="T189" s="54">
        <v>0.0</v>
      </c>
      <c r="U189" s="54">
        <v>0.0</v>
      </c>
      <c r="V189" s="54">
        <v>0.0</v>
      </c>
      <c r="W189" s="54">
        <v>0.0</v>
      </c>
      <c r="X189" s="54">
        <v>0.0</v>
      </c>
      <c r="Y189" s="54">
        <v>0.0</v>
      </c>
      <c r="Z189" s="54">
        <v>0.0</v>
      </c>
      <c r="AA189" s="54">
        <v>0.0</v>
      </c>
      <c r="AB189" s="54">
        <v>0.0</v>
      </c>
      <c r="AC189" s="55">
        <v>0.0</v>
      </c>
      <c r="AD189" s="54">
        <v>0.0</v>
      </c>
      <c r="AE189" s="54">
        <v>0.0</v>
      </c>
      <c r="AF189" s="54">
        <v>0.0</v>
      </c>
      <c r="AG189" s="54">
        <v>0.0</v>
      </c>
      <c r="AH189" s="54">
        <v>0.0</v>
      </c>
      <c r="AI189" s="54">
        <v>0.0</v>
      </c>
      <c r="AJ189" s="54">
        <v>0.0</v>
      </c>
      <c r="AK189" s="54">
        <v>0.0</v>
      </c>
      <c r="AL189" s="54">
        <v>0.0</v>
      </c>
      <c r="AM189" s="54">
        <v>0.0</v>
      </c>
      <c r="AN189" s="54">
        <v>0.0</v>
      </c>
      <c r="AO189" s="54">
        <v>9.0</v>
      </c>
      <c r="AP189" s="54">
        <v>3.0</v>
      </c>
      <c r="AQ189" s="7">
        <v>0.0</v>
      </c>
      <c r="AR189" s="7">
        <v>0.0</v>
      </c>
      <c r="AS189" s="7">
        <v>0.0</v>
      </c>
      <c r="AT189" s="7">
        <v>0.0</v>
      </c>
      <c r="AU189" s="7">
        <v>0.0</v>
      </c>
      <c r="AV189" s="7">
        <v>0.0</v>
      </c>
      <c r="AW189" s="7">
        <v>0.0</v>
      </c>
      <c r="AX189" s="7">
        <v>0.0</v>
      </c>
      <c r="AY189" s="7">
        <v>0.0</v>
      </c>
      <c r="AZ189" s="7">
        <v>0.0</v>
      </c>
      <c r="BA189" s="7">
        <v>0.0</v>
      </c>
      <c r="BB189" s="7">
        <v>0.0</v>
      </c>
      <c r="BC189" s="7">
        <v>0.0</v>
      </c>
      <c r="BD189" s="7">
        <v>0.0</v>
      </c>
      <c r="BE189" s="7">
        <v>0.0</v>
      </c>
      <c r="BF189" s="7">
        <v>0.0</v>
      </c>
      <c r="BG189" s="7">
        <v>0.0</v>
      </c>
      <c r="BH189" s="7">
        <v>0.0</v>
      </c>
      <c r="BI189" s="7">
        <v>0.0</v>
      </c>
      <c r="BJ189" s="8">
        <v>0.0</v>
      </c>
    </row>
    <row r="190" ht="15.75" customHeight="1">
      <c r="A190" s="56" t="s">
        <v>159</v>
      </c>
      <c r="B190" s="54">
        <v>0.0</v>
      </c>
      <c r="C190" s="54">
        <v>0.0</v>
      </c>
      <c r="D190" s="54">
        <v>0.0</v>
      </c>
      <c r="E190" s="54">
        <v>0.0</v>
      </c>
      <c r="F190" s="54">
        <v>0.0</v>
      </c>
      <c r="G190" s="54">
        <v>0.0</v>
      </c>
      <c r="H190" s="54">
        <v>0.0</v>
      </c>
      <c r="I190" s="54">
        <v>0.0</v>
      </c>
      <c r="J190" s="54">
        <v>0.0</v>
      </c>
      <c r="K190" s="54">
        <v>0.0</v>
      </c>
      <c r="L190" s="54">
        <v>0.0</v>
      </c>
      <c r="M190" s="54">
        <v>0.0</v>
      </c>
      <c r="N190" s="54">
        <v>0.0</v>
      </c>
      <c r="O190" s="54">
        <v>0.0</v>
      </c>
      <c r="P190" s="54">
        <v>0.0</v>
      </c>
      <c r="Q190" s="54">
        <v>0.0</v>
      </c>
      <c r="R190" s="54">
        <v>0.0</v>
      </c>
      <c r="S190" s="54">
        <v>0.0</v>
      </c>
      <c r="T190" s="54">
        <v>0.0</v>
      </c>
      <c r="U190" s="54">
        <v>0.0</v>
      </c>
      <c r="V190" s="54">
        <v>0.0</v>
      </c>
      <c r="W190" s="54">
        <v>0.0</v>
      </c>
      <c r="X190" s="54">
        <v>0.0</v>
      </c>
      <c r="Y190" s="54">
        <v>0.0</v>
      </c>
      <c r="Z190" s="54">
        <v>0.0</v>
      </c>
      <c r="AA190" s="54">
        <v>0.0</v>
      </c>
      <c r="AB190" s="54">
        <v>0.0</v>
      </c>
      <c r="AC190" s="55">
        <v>0.0</v>
      </c>
      <c r="AD190" s="54">
        <v>0.0</v>
      </c>
      <c r="AE190" s="54">
        <v>0.0</v>
      </c>
      <c r="AF190" s="54">
        <v>0.0</v>
      </c>
      <c r="AG190" s="54">
        <v>0.0</v>
      </c>
      <c r="AH190" s="54">
        <v>0.0</v>
      </c>
      <c r="AI190" s="54">
        <v>0.0</v>
      </c>
      <c r="AJ190" s="54">
        <v>0.0</v>
      </c>
      <c r="AK190" s="54">
        <v>0.0</v>
      </c>
      <c r="AL190" s="54">
        <v>0.0</v>
      </c>
      <c r="AM190" s="54">
        <v>0.0</v>
      </c>
      <c r="AN190" s="54">
        <v>0.0</v>
      </c>
      <c r="AO190" s="54">
        <v>0.0</v>
      </c>
      <c r="AP190" s="54">
        <v>0.0</v>
      </c>
      <c r="AQ190" s="54">
        <v>1.0</v>
      </c>
      <c r="AR190" s="54">
        <v>0.0</v>
      </c>
      <c r="AS190" s="54">
        <v>1.0</v>
      </c>
      <c r="AT190" s="54">
        <v>1.0</v>
      </c>
      <c r="AU190" s="54">
        <v>1.0</v>
      </c>
      <c r="AV190" s="7">
        <v>0.0</v>
      </c>
      <c r="AW190" s="7">
        <v>0.0</v>
      </c>
      <c r="AX190" s="7">
        <v>0.0</v>
      </c>
      <c r="AY190" s="7">
        <v>0.0</v>
      </c>
      <c r="AZ190" s="7">
        <v>0.0</v>
      </c>
      <c r="BA190" s="7">
        <v>0.0</v>
      </c>
      <c r="BB190" s="7">
        <v>0.0</v>
      </c>
      <c r="BC190" s="7">
        <v>0.0</v>
      </c>
      <c r="BD190" s="7">
        <v>0.0</v>
      </c>
      <c r="BE190" s="7">
        <v>0.0</v>
      </c>
      <c r="BF190" s="7">
        <v>0.0</v>
      </c>
      <c r="BG190" s="7">
        <v>0.0</v>
      </c>
      <c r="BH190" s="7">
        <v>0.0</v>
      </c>
      <c r="BI190" s="7">
        <v>0.0</v>
      </c>
      <c r="BJ190" s="8">
        <v>0.0</v>
      </c>
    </row>
    <row r="191" ht="15.75" customHeight="1">
      <c r="A191" s="56" t="s">
        <v>160</v>
      </c>
      <c r="B191" s="54">
        <v>0.0</v>
      </c>
      <c r="C191" s="54">
        <v>0.0</v>
      </c>
      <c r="D191" s="54">
        <v>0.0</v>
      </c>
      <c r="E191" s="54">
        <v>0.0</v>
      </c>
      <c r="F191" s="54">
        <v>0.0</v>
      </c>
      <c r="G191" s="54">
        <v>0.0</v>
      </c>
      <c r="H191" s="54">
        <v>0.0</v>
      </c>
      <c r="I191" s="54">
        <v>0.0</v>
      </c>
      <c r="J191" s="54">
        <v>0.0</v>
      </c>
      <c r="K191" s="54">
        <v>0.0</v>
      </c>
      <c r="L191" s="54">
        <v>0.0</v>
      </c>
      <c r="M191" s="54">
        <v>0.0</v>
      </c>
      <c r="N191" s="54">
        <v>0.0</v>
      </c>
      <c r="O191" s="54">
        <v>0.0</v>
      </c>
      <c r="P191" s="54">
        <v>0.0</v>
      </c>
      <c r="Q191" s="54">
        <v>0.0</v>
      </c>
      <c r="R191" s="54">
        <v>0.0</v>
      </c>
      <c r="S191" s="54">
        <v>0.0</v>
      </c>
      <c r="T191" s="54">
        <v>0.0</v>
      </c>
      <c r="U191" s="54">
        <v>0.0</v>
      </c>
      <c r="V191" s="54">
        <v>0.0</v>
      </c>
      <c r="W191" s="54">
        <v>0.0</v>
      </c>
      <c r="X191" s="54">
        <v>0.0</v>
      </c>
      <c r="Y191" s="54">
        <v>0.0</v>
      </c>
      <c r="Z191" s="54">
        <v>0.0</v>
      </c>
      <c r="AA191" s="54">
        <v>0.0</v>
      </c>
      <c r="AB191" s="54">
        <v>0.0</v>
      </c>
      <c r="AC191" s="55">
        <v>0.0</v>
      </c>
      <c r="AD191" s="54">
        <v>0.0</v>
      </c>
      <c r="AE191" s="54">
        <v>0.0</v>
      </c>
      <c r="AF191" s="54">
        <v>0.0</v>
      </c>
      <c r="AG191" s="54">
        <v>0.0</v>
      </c>
      <c r="AH191" s="54">
        <v>0.0</v>
      </c>
      <c r="AI191" s="54">
        <v>0.0</v>
      </c>
      <c r="AJ191" s="54">
        <v>0.0</v>
      </c>
      <c r="AK191" s="54">
        <v>0.0</v>
      </c>
      <c r="AL191" s="54">
        <v>0.0</v>
      </c>
      <c r="AM191" s="54">
        <v>0.0</v>
      </c>
      <c r="AN191" s="54">
        <v>0.0</v>
      </c>
      <c r="AO191" s="54">
        <v>0.0</v>
      </c>
      <c r="AP191" s="54">
        <v>0.0</v>
      </c>
      <c r="AQ191" s="54">
        <v>0.0</v>
      </c>
      <c r="AR191" s="54">
        <v>0.0</v>
      </c>
      <c r="AS191" s="54">
        <v>0.0</v>
      </c>
      <c r="AT191" s="54">
        <v>1.0</v>
      </c>
      <c r="AU191" s="54">
        <v>0.0</v>
      </c>
      <c r="AV191" s="54">
        <v>1.0</v>
      </c>
      <c r="AW191" s="7">
        <v>0.0</v>
      </c>
      <c r="AX191" s="7">
        <v>0.0</v>
      </c>
      <c r="AY191" s="7">
        <v>0.0</v>
      </c>
      <c r="AZ191" s="7">
        <v>0.0</v>
      </c>
      <c r="BA191" s="7">
        <v>0.0</v>
      </c>
      <c r="BB191" s="7">
        <v>0.0</v>
      </c>
      <c r="BC191" s="7">
        <v>0.0</v>
      </c>
      <c r="BD191" s="7">
        <v>0.0</v>
      </c>
      <c r="BE191" s="7">
        <v>0.0</v>
      </c>
      <c r="BF191" s="7">
        <v>0.0</v>
      </c>
      <c r="BG191" s="7">
        <v>0.0</v>
      </c>
      <c r="BH191" s="7">
        <v>0.0</v>
      </c>
      <c r="BI191" s="7">
        <v>0.0</v>
      </c>
      <c r="BJ191" s="8">
        <v>0.0</v>
      </c>
    </row>
    <row r="192" ht="15.75" customHeight="1">
      <c r="A192" s="56" t="s">
        <v>161</v>
      </c>
      <c r="B192" s="54">
        <v>0.0</v>
      </c>
      <c r="C192" s="54">
        <v>0.0</v>
      </c>
      <c r="D192" s="54">
        <v>0.0</v>
      </c>
      <c r="E192" s="54">
        <v>0.0</v>
      </c>
      <c r="F192" s="54">
        <v>0.0</v>
      </c>
      <c r="G192" s="54">
        <v>0.0</v>
      </c>
      <c r="H192" s="54">
        <v>0.0</v>
      </c>
      <c r="I192" s="54">
        <v>0.0</v>
      </c>
      <c r="J192" s="54">
        <v>0.0</v>
      </c>
      <c r="K192" s="54">
        <v>0.0</v>
      </c>
      <c r="L192" s="54">
        <v>0.0</v>
      </c>
      <c r="M192" s="54">
        <v>0.0</v>
      </c>
      <c r="N192" s="54">
        <v>0.0</v>
      </c>
      <c r="O192" s="54">
        <v>0.0</v>
      </c>
      <c r="P192" s="54">
        <v>0.0</v>
      </c>
      <c r="Q192" s="54">
        <v>0.0</v>
      </c>
      <c r="R192" s="54">
        <v>0.0</v>
      </c>
      <c r="S192" s="54">
        <v>0.0</v>
      </c>
      <c r="T192" s="54">
        <v>0.0</v>
      </c>
      <c r="U192" s="54">
        <v>0.0</v>
      </c>
      <c r="V192" s="54">
        <v>0.0</v>
      </c>
      <c r="W192" s="54">
        <v>0.0</v>
      </c>
      <c r="X192" s="54">
        <v>0.0</v>
      </c>
      <c r="Y192" s="54">
        <v>0.0</v>
      </c>
      <c r="Z192" s="54">
        <v>0.0</v>
      </c>
      <c r="AA192" s="54">
        <v>0.0</v>
      </c>
      <c r="AB192" s="54">
        <v>0.0</v>
      </c>
      <c r="AC192" s="55">
        <v>0.0</v>
      </c>
      <c r="AD192" s="54">
        <v>0.0</v>
      </c>
      <c r="AE192" s="54">
        <v>0.0</v>
      </c>
      <c r="AF192" s="54">
        <v>0.0</v>
      </c>
      <c r="AG192" s="54">
        <v>0.0</v>
      </c>
      <c r="AH192" s="54">
        <v>0.0</v>
      </c>
      <c r="AI192" s="54">
        <v>0.0</v>
      </c>
      <c r="AJ192" s="54">
        <v>0.0</v>
      </c>
      <c r="AK192" s="54">
        <v>0.0</v>
      </c>
      <c r="AL192" s="54">
        <v>0.0</v>
      </c>
      <c r="AM192" s="54">
        <v>0.0</v>
      </c>
      <c r="AN192" s="54">
        <v>0.0</v>
      </c>
      <c r="AO192" s="54">
        <v>0.0</v>
      </c>
      <c r="AP192" s="54">
        <v>0.0</v>
      </c>
      <c r="AQ192" s="54">
        <v>0.0</v>
      </c>
      <c r="AR192" s="54">
        <v>0.0</v>
      </c>
      <c r="AS192" s="54">
        <v>0.0</v>
      </c>
      <c r="AT192" s="54">
        <v>2.0</v>
      </c>
      <c r="AU192" s="54">
        <v>0.0</v>
      </c>
      <c r="AV192" s="54">
        <v>1.0</v>
      </c>
      <c r="AW192" s="54">
        <v>1.0</v>
      </c>
      <c r="AX192" s="7">
        <v>0.0</v>
      </c>
      <c r="AY192" s="7">
        <v>0.0</v>
      </c>
      <c r="AZ192" s="7">
        <v>0.0</v>
      </c>
      <c r="BA192" s="7">
        <v>0.0</v>
      </c>
      <c r="BB192" s="7">
        <v>0.0</v>
      </c>
      <c r="BC192" s="7">
        <v>0.0</v>
      </c>
      <c r="BD192" s="7">
        <v>0.0</v>
      </c>
      <c r="BE192" s="7">
        <v>0.0</v>
      </c>
      <c r="BF192" s="7">
        <v>0.0</v>
      </c>
      <c r="BG192" s="7">
        <v>0.0</v>
      </c>
      <c r="BH192" s="7">
        <v>0.0</v>
      </c>
      <c r="BI192" s="7">
        <v>0.0</v>
      </c>
      <c r="BJ192" s="8">
        <v>0.0</v>
      </c>
    </row>
    <row r="193" ht="15.75" customHeight="1">
      <c r="A193" s="57" t="s">
        <v>162</v>
      </c>
      <c r="B193" s="58">
        <v>0.0</v>
      </c>
      <c r="C193" s="58">
        <v>0.0</v>
      </c>
      <c r="D193" s="58">
        <v>0.0</v>
      </c>
      <c r="E193" s="58">
        <v>0.0</v>
      </c>
      <c r="F193" s="58">
        <v>0.0</v>
      </c>
      <c r="G193" s="58">
        <v>0.0</v>
      </c>
      <c r="H193" s="58">
        <v>0.0</v>
      </c>
      <c r="I193" s="58">
        <v>0.0</v>
      </c>
      <c r="J193" s="58">
        <v>0.0</v>
      </c>
      <c r="K193" s="58">
        <v>0.0</v>
      </c>
      <c r="L193" s="58">
        <v>0.0</v>
      </c>
      <c r="M193" s="58">
        <v>0.0</v>
      </c>
      <c r="N193" s="58">
        <v>0.0</v>
      </c>
      <c r="O193" s="58">
        <v>0.0</v>
      </c>
      <c r="P193" s="58">
        <v>0.0</v>
      </c>
      <c r="Q193" s="58">
        <v>0.0</v>
      </c>
      <c r="R193" s="58">
        <v>0.0</v>
      </c>
      <c r="S193" s="58">
        <v>0.0</v>
      </c>
      <c r="T193" s="58">
        <v>0.0</v>
      </c>
      <c r="U193" s="58">
        <v>0.0</v>
      </c>
      <c r="V193" s="58">
        <v>0.0</v>
      </c>
      <c r="W193" s="58">
        <v>0.0</v>
      </c>
      <c r="X193" s="58">
        <v>0.0</v>
      </c>
      <c r="Y193" s="58">
        <v>0.0</v>
      </c>
      <c r="Z193" s="58">
        <v>0.0</v>
      </c>
      <c r="AA193" s="58">
        <v>0.0</v>
      </c>
      <c r="AB193" s="58">
        <v>0.0</v>
      </c>
      <c r="AC193" s="59">
        <v>0.0</v>
      </c>
      <c r="AD193" s="58">
        <v>0.0</v>
      </c>
      <c r="AE193" s="58">
        <v>0.0</v>
      </c>
      <c r="AF193" s="58">
        <v>0.0</v>
      </c>
      <c r="AG193" s="58">
        <v>0.0</v>
      </c>
      <c r="AH193" s="58">
        <v>0.0</v>
      </c>
      <c r="AI193" s="58">
        <v>0.0</v>
      </c>
      <c r="AJ193" s="58">
        <v>0.0</v>
      </c>
      <c r="AK193" s="58">
        <v>0.0</v>
      </c>
      <c r="AL193" s="58">
        <v>0.0</v>
      </c>
      <c r="AM193" s="58">
        <v>0.0</v>
      </c>
      <c r="AN193" s="58">
        <v>0.0</v>
      </c>
      <c r="AO193" s="58">
        <v>0.0</v>
      </c>
      <c r="AP193" s="58">
        <v>0.0</v>
      </c>
      <c r="AQ193" s="58">
        <v>0.0</v>
      </c>
      <c r="AR193" s="58">
        <v>0.0</v>
      </c>
      <c r="AS193" s="58">
        <v>0.0</v>
      </c>
      <c r="AT193" s="58">
        <v>0.0</v>
      </c>
      <c r="AU193" s="58">
        <v>2.0</v>
      </c>
      <c r="AV193" s="58">
        <v>0.0</v>
      </c>
      <c r="AW193" s="58">
        <v>0.0</v>
      </c>
      <c r="AX193" s="58">
        <v>1.0</v>
      </c>
      <c r="AY193" s="45">
        <v>0.0</v>
      </c>
      <c r="AZ193" s="45">
        <v>0.0</v>
      </c>
      <c r="BA193" s="45">
        <v>0.0</v>
      </c>
      <c r="BB193" s="45">
        <v>0.0</v>
      </c>
      <c r="BC193" s="45">
        <v>0.0</v>
      </c>
      <c r="BD193" s="45">
        <v>0.0</v>
      </c>
      <c r="BE193" s="45">
        <v>0.0</v>
      </c>
      <c r="BF193" s="45">
        <v>0.0</v>
      </c>
      <c r="BG193" s="45">
        <v>0.0</v>
      </c>
      <c r="BH193" s="45">
        <v>0.0</v>
      </c>
      <c r="BI193" s="45">
        <v>0.0</v>
      </c>
      <c r="BJ193" s="46">
        <v>0.0</v>
      </c>
    </row>
    <row r="194" ht="15.75" customHeight="1">
      <c r="A194" s="63" t="s">
        <v>60</v>
      </c>
      <c r="B194" s="54">
        <v>0.0</v>
      </c>
      <c r="C194" s="54">
        <v>0.0</v>
      </c>
      <c r="D194" s="54">
        <v>0.0</v>
      </c>
      <c r="E194" s="54">
        <v>0.0</v>
      </c>
      <c r="F194" s="54">
        <v>0.0</v>
      </c>
      <c r="G194" s="54">
        <v>0.0</v>
      </c>
      <c r="H194" s="54">
        <v>0.0</v>
      </c>
      <c r="I194" s="54">
        <v>0.0</v>
      </c>
      <c r="J194" s="54">
        <v>0.0</v>
      </c>
      <c r="K194" s="54">
        <v>0.0</v>
      </c>
      <c r="L194" s="54">
        <v>0.0</v>
      </c>
      <c r="M194" s="54">
        <v>0.0</v>
      </c>
      <c r="N194" s="54">
        <v>0.0</v>
      </c>
      <c r="O194" s="54">
        <v>0.0</v>
      </c>
      <c r="P194" s="54">
        <v>0.0</v>
      </c>
      <c r="Q194" s="54">
        <v>0.0</v>
      </c>
      <c r="R194" s="54">
        <v>0.0</v>
      </c>
      <c r="S194" s="54">
        <v>0.0</v>
      </c>
      <c r="T194" s="54">
        <v>0.0</v>
      </c>
      <c r="U194" s="54">
        <v>0.0</v>
      </c>
      <c r="V194" s="54">
        <v>0.0</v>
      </c>
      <c r="W194" s="54">
        <v>0.0</v>
      </c>
      <c r="X194" s="54">
        <v>0.0</v>
      </c>
      <c r="Y194" s="54">
        <v>0.0</v>
      </c>
      <c r="Z194" s="54">
        <v>0.0</v>
      </c>
      <c r="AA194" s="54">
        <v>0.0</v>
      </c>
      <c r="AB194" s="54">
        <v>0.0</v>
      </c>
      <c r="AC194" s="55">
        <v>0.0</v>
      </c>
      <c r="AD194" s="54">
        <v>0.0</v>
      </c>
      <c r="AE194" s="54">
        <v>0.0</v>
      </c>
      <c r="AF194" s="54">
        <v>0.0</v>
      </c>
      <c r="AG194" s="54">
        <v>1.0</v>
      </c>
      <c r="AH194" s="54">
        <v>2.0</v>
      </c>
      <c r="AI194" s="54">
        <v>4.0</v>
      </c>
      <c r="AJ194" s="7">
        <v>0.0</v>
      </c>
      <c r="AK194" s="7">
        <v>0.0</v>
      </c>
      <c r="AL194" s="7">
        <v>0.0</v>
      </c>
      <c r="AM194" s="7">
        <v>0.0</v>
      </c>
      <c r="AN194" s="7">
        <v>0.0</v>
      </c>
      <c r="AO194" s="7">
        <v>0.0</v>
      </c>
      <c r="AP194" s="7">
        <v>0.0</v>
      </c>
      <c r="AQ194" s="7">
        <v>0.0</v>
      </c>
      <c r="AR194" s="7">
        <v>0.0</v>
      </c>
      <c r="AS194" s="7">
        <v>0.0</v>
      </c>
      <c r="AT194" s="7">
        <v>0.0</v>
      </c>
      <c r="AU194" s="7">
        <v>0.0</v>
      </c>
      <c r="AV194" s="7">
        <v>0.0</v>
      </c>
      <c r="AW194" s="7">
        <v>0.0</v>
      </c>
      <c r="AX194" s="7">
        <v>0.0</v>
      </c>
      <c r="AY194" s="7">
        <v>0.0</v>
      </c>
      <c r="AZ194" s="7">
        <v>0.0</v>
      </c>
      <c r="BA194" s="7">
        <v>0.0</v>
      </c>
      <c r="BB194" s="7">
        <v>0.0</v>
      </c>
      <c r="BC194" s="7">
        <v>0.0</v>
      </c>
      <c r="BD194" s="7">
        <v>0.0</v>
      </c>
      <c r="BE194" s="7">
        <v>0.0</v>
      </c>
      <c r="BF194" s="7">
        <v>0.0</v>
      </c>
      <c r="BG194" s="7">
        <v>0.0</v>
      </c>
      <c r="BH194" s="7">
        <v>0.0</v>
      </c>
      <c r="BI194" s="7">
        <v>0.0</v>
      </c>
      <c r="BJ194" s="8">
        <v>0.0</v>
      </c>
    </row>
    <row r="195" ht="15.75" customHeight="1">
      <c r="A195" s="64" t="s">
        <v>163</v>
      </c>
      <c r="B195" s="54">
        <v>0.0</v>
      </c>
      <c r="C195" s="54">
        <v>0.0</v>
      </c>
      <c r="D195" s="54">
        <v>0.0</v>
      </c>
      <c r="E195" s="54">
        <v>0.0</v>
      </c>
      <c r="F195" s="54">
        <v>0.0</v>
      </c>
      <c r="G195" s="54">
        <v>0.0</v>
      </c>
      <c r="H195" s="54">
        <v>0.0</v>
      </c>
      <c r="I195" s="54">
        <v>0.0</v>
      </c>
      <c r="J195" s="54">
        <v>0.0</v>
      </c>
      <c r="K195" s="54">
        <v>0.0</v>
      </c>
      <c r="L195" s="54">
        <v>0.0</v>
      </c>
      <c r="M195" s="54">
        <v>0.0</v>
      </c>
      <c r="N195" s="54">
        <v>0.0</v>
      </c>
      <c r="O195" s="54">
        <v>0.0</v>
      </c>
      <c r="P195" s="54">
        <v>0.0</v>
      </c>
      <c r="Q195" s="54">
        <v>0.0</v>
      </c>
      <c r="R195" s="54">
        <v>0.0</v>
      </c>
      <c r="S195" s="54">
        <v>0.0</v>
      </c>
      <c r="T195" s="54">
        <v>0.0</v>
      </c>
      <c r="U195" s="54">
        <v>0.0</v>
      </c>
      <c r="V195" s="54">
        <v>0.0</v>
      </c>
      <c r="W195" s="54">
        <v>0.0</v>
      </c>
      <c r="X195" s="54">
        <v>0.0</v>
      </c>
      <c r="Y195" s="54">
        <v>0.0</v>
      </c>
      <c r="Z195" s="54">
        <v>0.0</v>
      </c>
      <c r="AA195" s="54">
        <v>0.0</v>
      </c>
      <c r="AB195" s="54">
        <v>0.0</v>
      </c>
      <c r="AC195" s="55">
        <v>0.0</v>
      </c>
      <c r="AD195" s="54">
        <v>0.0</v>
      </c>
      <c r="AE195" s="54">
        <v>0.0</v>
      </c>
      <c r="AF195" s="54">
        <v>0.0</v>
      </c>
      <c r="AG195" s="54">
        <v>0.0</v>
      </c>
      <c r="AH195" s="54">
        <v>0.0</v>
      </c>
      <c r="AI195" s="54">
        <v>4.0</v>
      </c>
      <c r="AJ195" s="54">
        <v>1.0</v>
      </c>
      <c r="AK195" s="54">
        <v>4.0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  <c r="AV195" s="7">
        <v>0.0</v>
      </c>
      <c r="AW195" s="7">
        <v>0.0</v>
      </c>
      <c r="AX195" s="7">
        <v>0.0</v>
      </c>
      <c r="AY195" s="7">
        <v>0.0</v>
      </c>
      <c r="AZ195" s="7">
        <v>0.0</v>
      </c>
      <c r="BA195" s="7">
        <v>0.0</v>
      </c>
      <c r="BB195" s="7">
        <v>0.0</v>
      </c>
      <c r="BC195" s="7">
        <v>0.0</v>
      </c>
      <c r="BD195" s="7">
        <v>0.0</v>
      </c>
      <c r="BE195" s="7">
        <v>0.0</v>
      </c>
      <c r="BF195" s="7">
        <v>0.0</v>
      </c>
      <c r="BG195" s="7">
        <v>0.0</v>
      </c>
      <c r="BH195" s="7">
        <v>0.0</v>
      </c>
      <c r="BI195" s="7">
        <v>0.0</v>
      </c>
      <c r="BJ195" s="8">
        <v>0.0</v>
      </c>
    </row>
    <row r="196" ht="15.75" customHeight="1">
      <c r="A196" s="64" t="s">
        <v>164</v>
      </c>
      <c r="B196" s="54">
        <v>0.0</v>
      </c>
      <c r="C196" s="54">
        <v>0.0</v>
      </c>
      <c r="D196" s="54">
        <v>0.0</v>
      </c>
      <c r="E196" s="54">
        <v>0.0</v>
      </c>
      <c r="F196" s="54">
        <v>0.0</v>
      </c>
      <c r="G196" s="54">
        <v>0.0</v>
      </c>
      <c r="H196" s="54">
        <v>0.0</v>
      </c>
      <c r="I196" s="54">
        <v>0.0</v>
      </c>
      <c r="J196" s="54">
        <v>0.0</v>
      </c>
      <c r="K196" s="54">
        <v>0.0</v>
      </c>
      <c r="L196" s="54">
        <v>0.0</v>
      </c>
      <c r="M196" s="54">
        <v>0.0</v>
      </c>
      <c r="N196" s="54">
        <v>0.0</v>
      </c>
      <c r="O196" s="54">
        <v>0.0</v>
      </c>
      <c r="P196" s="54">
        <v>0.0</v>
      </c>
      <c r="Q196" s="54">
        <v>0.0</v>
      </c>
      <c r="R196" s="54">
        <v>0.0</v>
      </c>
      <c r="S196" s="54">
        <v>0.0</v>
      </c>
      <c r="T196" s="54">
        <v>0.0</v>
      </c>
      <c r="U196" s="54">
        <v>0.0</v>
      </c>
      <c r="V196" s="54">
        <v>0.0</v>
      </c>
      <c r="W196" s="54">
        <v>0.0</v>
      </c>
      <c r="X196" s="54">
        <v>0.0</v>
      </c>
      <c r="Y196" s="54">
        <v>0.0</v>
      </c>
      <c r="Z196" s="54">
        <v>0.0</v>
      </c>
      <c r="AA196" s="54">
        <v>0.0</v>
      </c>
      <c r="AB196" s="54">
        <v>0.0</v>
      </c>
      <c r="AC196" s="55">
        <v>0.0</v>
      </c>
      <c r="AD196" s="54">
        <v>0.0</v>
      </c>
      <c r="AE196" s="54">
        <v>0.0</v>
      </c>
      <c r="AF196" s="54">
        <v>0.0</v>
      </c>
      <c r="AG196" s="54">
        <v>0.0</v>
      </c>
      <c r="AH196" s="54">
        <v>0.0</v>
      </c>
      <c r="AI196" s="54">
        <v>0.0</v>
      </c>
      <c r="AJ196" s="54">
        <v>1.0</v>
      </c>
      <c r="AK196" s="54">
        <v>0.0</v>
      </c>
      <c r="AL196" s="54">
        <v>0.0</v>
      </c>
      <c r="AM196" s="54">
        <v>1.0</v>
      </c>
      <c r="AN196" s="54">
        <v>1.0</v>
      </c>
      <c r="AO196" s="54">
        <v>0.0</v>
      </c>
      <c r="AP196" s="54">
        <v>2.0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  <c r="AV196" s="7">
        <v>0.0</v>
      </c>
      <c r="AW196" s="7">
        <v>0.0</v>
      </c>
      <c r="AX196" s="7">
        <v>0.0</v>
      </c>
      <c r="AY196" s="7">
        <v>0.0</v>
      </c>
      <c r="AZ196" s="7">
        <v>0.0</v>
      </c>
      <c r="BA196" s="7">
        <v>0.0</v>
      </c>
      <c r="BB196" s="7">
        <v>0.0</v>
      </c>
      <c r="BC196" s="7">
        <v>0.0</v>
      </c>
      <c r="BD196" s="7">
        <v>0.0</v>
      </c>
      <c r="BE196" s="7">
        <v>0.0</v>
      </c>
      <c r="BF196" s="7">
        <v>0.0</v>
      </c>
      <c r="BG196" s="7">
        <v>0.0</v>
      </c>
      <c r="BH196" s="7">
        <v>0.0</v>
      </c>
      <c r="BI196" s="7">
        <v>0.0</v>
      </c>
      <c r="BJ196" s="8">
        <v>0.0</v>
      </c>
    </row>
    <row r="197" ht="15.75" customHeight="1">
      <c r="A197" s="64" t="s">
        <v>165</v>
      </c>
      <c r="B197" s="54">
        <v>0.0</v>
      </c>
      <c r="C197" s="54">
        <v>0.0</v>
      </c>
      <c r="D197" s="54">
        <v>0.0</v>
      </c>
      <c r="E197" s="54">
        <v>0.0</v>
      </c>
      <c r="F197" s="54">
        <v>0.0</v>
      </c>
      <c r="G197" s="54">
        <v>0.0</v>
      </c>
      <c r="H197" s="54">
        <v>0.0</v>
      </c>
      <c r="I197" s="54">
        <v>0.0</v>
      </c>
      <c r="J197" s="54">
        <v>0.0</v>
      </c>
      <c r="K197" s="54">
        <v>0.0</v>
      </c>
      <c r="L197" s="54">
        <v>0.0</v>
      </c>
      <c r="M197" s="54">
        <v>0.0</v>
      </c>
      <c r="N197" s="54">
        <v>0.0</v>
      </c>
      <c r="O197" s="54">
        <v>0.0</v>
      </c>
      <c r="P197" s="54">
        <v>0.0</v>
      </c>
      <c r="Q197" s="54">
        <v>0.0</v>
      </c>
      <c r="R197" s="54">
        <v>0.0</v>
      </c>
      <c r="S197" s="54">
        <v>0.0</v>
      </c>
      <c r="T197" s="54">
        <v>0.0</v>
      </c>
      <c r="U197" s="54">
        <v>0.0</v>
      </c>
      <c r="V197" s="54">
        <v>0.0</v>
      </c>
      <c r="W197" s="54">
        <v>0.0</v>
      </c>
      <c r="X197" s="54">
        <v>0.0</v>
      </c>
      <c r="Y197" s="54">
        <v>0.0</v>
      </c>
      <c r="Z197" s="54">
        <v>0.0</v>
      </c>
      <c r="AA197" s="54">
        <v>0.0</v>
      </c>
      <c r="AB197" s="54">
        <v>0.0</v>
      </c>
      <c r="AC197" s="55">
        <v>0.0</v>
      </c>
      <c r="AD197" s="54">
        <v>0.0</v>
      </c>
      <c r="AE197" s="54">
        <v>0.0</v>
      </c>
      <c r="AF197" s="54">
        <v>0.0</v>
      </c>
      <c r="AG197" s="54">
        <v>0.0</v>
      </c>
      <c r="AH197" s="54">
        <v>0.0</v>
      </c>
      <c r="AI197" s="54">
        <v>0.0</v>
      </c>
      <c r="AJ197" s="54">
        <v>0.0</v>
      </c>
      <c r="AK197" s="54">
        <v>0.0</v>
      </c>
      <c r="AL197" s="54">
        <v>0.0</v>
      </c>
      <c r="AM197" s="54">
        <v>0.0</v>
      </c>
      <c r="AN197" s="54">
        <v>0.0</v>
      </c>
      <c r="AO197" s="54">
        <v>0.0</v>
      </c>
      <c r="AP197" s="54">
        <v>0.0</v>
      </c>
      <c r="AQ197" s="54">
        <v>1.0</v>
      </c>
      <c r="AR197" s="7">
        <v>0.0</v>
      </c>
      <c r="AS197" s="7">
        <v>0.0</v>
      </c>
      <c r="AT197" s="7">
        <v>0.0</v>
      </c>
      <c r="AU197" s="7">
        <v>0.0</v>
      </c>
      <c r="AV197" s="7">
        <v>0.0</v>
      </c>
      <c r="AW197" s="7">
        <v>0.0</v>
      </c>
      <c r="AX197" s="7">
        <v>0.0</v>
      </c>
      <c r="AY197" s="7">
        <v>0.0</v>
      </c>
      <c r="AZ197" s="7">
        <v>0.0</v>
      </c>
      <c r="BA197" s="7">
        <v>0.0</v>
      </c>
      <c r="BB197" s="7">
        <v>0.0</v>
      </c>
      <c r="BC197" s="7">
        <v>0.0</v>
      </c>
      <c r="BD197" s="7">
        <v>0.0</v>
      </c>
      <c r="BE197" s="7">
        <v>0.0</v>
      </c>
      <c r="BF197" s="7">
        <v>0.0</v>
      </c>
      <c r="BG197" s="7">
        <v>0.0</v>
      </c>
      <c r="BH197" s="7">
        <v>0.0</v>
      </c>
      <c r="BI197" s="7">
        <v>0.0</v>
      </c>
      <c r="BJ197" s="8">
        <v>0.0</v>
      </c>
    </row>
    <row r="198" ht="15.75" customHeight="1">
      <c r="A198" s="65" t="s">
        <v>115</v>
      </c>
      <c r="B198" s="58">
        <v>0.0</v>
      </c>
      <c r="C198" s="58">
        <v>0.0</v>
      </c>
      <c r="D198" s="58">
        <v>0.0</v>
      </c>
      <c r="E198" s="58">
        <v>0.0</v>
      </c>
      <c r="F198" s="58">
        <v>0.0</v>
      </c>
      <c r="G198" s="58">
        <v>0.0</v>
      </c>
      <c r="H198" s="58">
        <v>0.0</v>
      </c>
      <c r="I198" s="58">
        <v>0.0</v>
      </c>
      <c r="J198" s="58">
        <v>0.0</v>
      </c>
      <c r="K198" s="58">
        <v>0.0</v>
      </c>
      <c r="L198" s="58">
        <v>0.0</v>
      </c>
      <c r="M198" s="58">
        <v>0.0</v>
      </c>
      <c r="N198" s="58">
        <v>0.0</v>
      </c>
      <c r="O198" s="58">
        <v>0.0</v>
      </c>
      <c r="P198" s="58">
        <v>0.0</v>
      </c>
      <c r="Q198" s="58">
        <v>0.0</v>
      </c>
      <c r="R198" s="58">
        <v>0.0</v>
      </c>
      <c r="S198" s="58">
        <v>0.0</v>
      </c>
      <c r="T198" s="58">
        <v>0.0</v>
      </c>
      <c r="U198" s="58">
        <v>0.0</v>
      </c>
      <c r="V198" s="58">
        <v>0.0</v>
      </c>
      <c r="W198" s="58">
        <v>0.0</v>
      </c>
      <c r="X198" s="58">
        <v>0.0</v>
      </c>
      <c r="Y198" s="58">
        <v>0.0</v>
      </c>
      <c r="Z198" s="58">
        <v>0.0</v>
      </c>
      <c r="AA198" s="58">
        <v>0.0</v>
      </c>
      <c r="AB198" s="58">
        <v>0.0</v>
      </c>
      <c r="AC198" s="59">
        <v>0.0</v>
      </c>
      <c r="AD198" s="58">
        <v>0.0</v>
      </c>
      <c r="AE198" s="58">
        <v>0.0</v>
      </c>
      <c r="AF198" s="58">
        <v>0.0</v>
      </c>
      <c r="AG198" s="58">
        <v>0.0</v>
      </c>
      <c r="AH198" s="58">
        <v>0.0</v>
      </c>
      <c r="AI198" s="58">
        <v>0.0</v>
      </c>
      <c r="AJ198" s="58">
        <v>0.0</v>
      </c>
      <c r="AK198" s="58">
        <v>0.0</v>
      </c>
      <c r="AL198" s="58">
        <v>0.0</v>
      </c>
      <c r="AM198" s="58">
        <v>0.0</v>
      </c>
      <c r="AN198" s="58">
        <v>0.0</v>
      </c>
      <c r="AO198" s="58">
        <v>0.0</v>
      </c>
      <c r="AP198" s="58">
        <v>0.0</v>
      </c>
      <c r="AQ198" s="58">
        <v>0.0</v>
      </c>
      <c r="AR198" s="58">
        <v>3.0</v>
      </c>
      <c r="AS198" s="45">
        <v>0.0</v>
      </c>
      <c r="AT198" s="45">
        <v>0.0</v>
      </c>
      <c r="AU198" s="45">
        <v>0.0</v>
      </c>
      <c r="AV198" s="45">
        <v>0.0</v>
      </c>
      <c r="AW198" s="45">
        <v>0.0</v>
      </c>
      <c r="AX198" s="45">
        <v>0.0</v>
      </c>
      <c r="AY198" s="45">
        <v>0.0</v>
      </c>
      <c r="AZ198" s="45">
        <v>0.0</v>
      </c>
      <c r="BA198" s="45">
        <v>0.0</v>
      </c>
      <c r="BB198" s="45">
        <v>0.0</v>
      </c>
      <c r="BC198" s="45">
        <v>0.0</v>
      </c>
      <c r="BD198" s="45">
        <v>0.0</v>
      </c>
      <c r="BE198" s="45">
        <v>0.0</v>
      </c>
      <c r="BF198" s="45">
        <v>0.0</v>
      </c>
      <c r="BG198" s="45">
        <v>0.0</v>
      </c>
      <c r="BH198" s="45">
        <v>0.0</v>
      </c>
      <c r="BI198" s="45">
        <v>0.0</v>
      </c>
      <c r="BJ198" s="45">
        <v>0.0</v>
      </c>
      <c r="BK198" s="87"/>
    </row>
    <row r="199">
      <c r="A199" s="88" t="s">
        <v>60</v>
      </c>
      <c r="B199" s="54">
        <v>0.0</v>
      </c>
      <c r="C199" s="54">
        <v>0.0</v>
      </c>
      <c r="D199" s="54">
        <v>0.0</v>
      </c>
      <c r="E199" s="54">
        <v>0.0</v>
      </c>
      <c r="F199" s="54">
        <v>0.0</v>
      </c>
      <c r="G199" s="54">
        <v>0.0</v>
      </c>
      <c r="H199" s="54">
        <v>0.0</v>
      </c>
      <c r="I199" s="54">
        <v>0.0</v>
      </c>
      <c r="J199" s="54">
        <v>0.0</v>
      </c>
      <c r="K199" s="54">
        <v>0.0</v>
      </c>
      <c r="L199" s="54">
        <v>0.0</v>
      </c>
      <c r="M199" s="54">
        <v>0.0</v>
      </c>
      <c r="N199" s="54">
        <v>0.0</v>
      </c>
      <c r="O199" s="54">
        <v>0.0</v>
      </c>
      <c r="P199" s="54">
        <v>0.0</v>
      </c>
      <c r="Q199" s="54">
        <v>0.0</v>
      </c>
      <c r="R199" s="54">
        <v>0.0</v>
      </c>
      <c r="S199" s="54">
        <v>0.0</v>
      </c>
      <c r="T199" s="54">
        <v>0.0</v>
      </c>
      <c r="U199" s="54">
        <v>0.0</v>
      </c>
      <c r="V199" s="54">
        <v>0.0</v>
      </c>
      <c r="W199" s="54">
        <v>0.0</v>
      </c>
      <c r="X199" s="54">
        <v>0.0</v>
      </c>
      <c r="Y199" s="54">
        <v>0.0</v>
      </c>
      <c r="Z199" s="54">
        <v>0.0</v>
      </c>
      <c r="AA199" s="54">
        <v>0.0</v>
      </c>
      <c r="AB199" s="54">
        <v>0.0</v>
      </c>
      <c r="AC199" s="55">
        <v>0.0</v>
      </c>
      <c r="AD199" s="54">
        <v>0.0</v>
      </c>
      <c r="AE199" s="54">
        <v>0.0</v>
      </c>
      <c r="AF199" s="54">
        <v>0.0</v>
      </c>
      <c r="AG199" s="54">
        <v>0.0</v>
      </c>
      <c r="AH199" s="54">
        <v>0.0</v>
      </c>
      <c r="AI199" s="54">
        <v>0.0</v>
      </c>
      <c r="AJ199" s="54">
        <v>0.0</v>
      </c>
      <c r="AK199" s="54">
        <v>0.0</v>
      </c>
      <c r="AL199" s="54">
        <v>0.0</v>
      </c>
      <c r="AM199" s="89">
        <v>2.0</v>
      </c>
      <c r="AN199" s="54">
        <v>0.0</v>
      </c>
      <c r="AO199" s="89">
        <v>1.0</v>
      </c>
      <c r="AP199" s="7">
        <v>0.0</v>
      </c>
      <c r="AQ199" s="7">
        <v>0.0</v>
      </c>
      <c r="AR199" s="7">
        <v>0.0</v>
      </c>
      <c r="AS199" s="7">
        <v>0.0</v>
      </c>
      <c r="AT199" s="7">
        <v>0.0</v>
      </c>
      <c r="AU199" s="7">
        <v>0.0</v>
      </c>
      <c r="AV199" s="7">
        <v>0.0</v>
      </c>
      <c r="AW199" s="7">
        <v>0.0</v>
      </c>
      <c r="AX199" s="7">
        <v>0.0</v>
      </c>
      <c r="AY199" s="7">
        <v>0.0</v>
      </c>
      <c r="AZ199" s="7">
        <v>0.0</v>
      </c>
      <c r="BA199" s="7">
        <v>0.0</v>
      </c>
      <c r="BB199" s="7">
        <v>0.0</v>
      </c>
      <c r="BC199" s="7">
        <v>0.0</v>
      </c>
      <c r="BD199" s="7">
        <v>0.0</v>
      </c>
      <c r="BE199" s="7">
        <v>0.0</v>
      </c>
      <c r="BF199" s="7">
        <v>0.0</v>
      </c>
      <c r="BG199" s="7">
        <v>0.0</v>
      </c>
      <c r="BH199" s="7">
        <v>0.0</v>
      </c>
      <c r="BI199" s="7">
        <v>0.0</v>
      </c>
      <c r="BJ199" s="7">
        <v>0.0</v>
      </c>
      <c r="BK199" s="87"/>
    </row>
    <row r="200">
      <c r="A200" s="88" t="s">
        <v>166</v>
      </c>
      <c r="B200" s="54">
        <v>0.0</v>
      </c>
      <c r="C200" s="54">
        <v>0.0</v>
      </c>
      <c r="D200" s="54">
        <v>0.0</v>
      </c>
      <c r="E200" s="54">
        <v>0.0</v>
      </c>
      <c r="F200" s="54">
        <v>0.0</v>
      </c>
      <c r="G200" s="54">
        <v>0.0</v>
      </c>
      <c r="H200" s="54">
        <v>0.0</v>
      </c>
      <c r="I200" s="54">
        <v>0.0</v>
      </c>
      <c r="J200" s="54">
        <v>0.0</v>
      </c>
      <c r="K200" s="54">
        <v>0.0</v>
      </c>
      <c r="L200" s="54">
        <v>0.0</v>
      </c>
      <c r="M200" s="54">
        <v>0.0</v>
      </c>
      <c r="N200" s="54">
        <v>0.0</v>
      </c>
      <c r="O200" s="54">
        <v>0.0</v>
      </c>
      <c r="P200" s="54">
        <v>0.0</v>
      </c>
      <c r="Q200" s="54">
        <v>0.0</v>
      </c>
      <c r="R200" s="54">
        <v>0.0</v>
      </c>
      <c r="S200" s="54">
        <v>0.0</v>
      </c>
      <c r="T200" s="54">
        <v>0.0</v>
      </c>
      <c r="U200" s="54">
        <v>0.0</v>
      </c>
      <c r="V200" s="54">
        <v>0.0</v>
      </c>
      <c r="W200" s="54">
        <v>0.0</v>
      </c>
      <c r="X200" s="54">
        <v>0.0</v>
      </c>
      <c r="Y200" s="54">
        <v>0.0</v>
      </c>
      <c r="Z200" s="54">
        <v>0.0</v>
      </c>
      <c r="AA200" s="54">
        <v>0.0</v>
      </c>
      <c r="AB200" s="54">
        <v>0.0</v>
      </c>
      <c r="AC200" s="55">
        <v>0.0</v>
      </c>
      <c r="AD200" s="54">
        <v>0.0</v>
      </c>
      <c r="AE200" s="54">
        <v>0.0</v>
      </c>
      <c r="AF200" s="54">
        <v>0.0</v>
      </c>
      <c r="AG200" s="54">
        <v>0.0</v>
      </c>
      <c r="AH200" s="54">
        <v>0.0</v>
      </c>
      <c r="AI200" s="54">
        <v>0.0</v>
      </c>
      <c r="AJ200" s="54">
        <v>0.0</v>
      </c>
      <c r="AK200" s="54">
        <v>0.0</v>
      </c>
      <c r="AL200" s="54">
        <v>0.0</v>
      </c>
      <c r="AM200" s="54">
        <v>0.0</v>
      </c>
      <c r="AN200" s="54">
        <v>0.0</v>
      </c>
      <c r="AO200" s="54">
        <v>0.0</v>
      </c>
      <c r="AP200" s="54">
        <v>0.0</v>
      </c>
      <c r="AQ200" s="54">
        <v>0.0</v>
      </c>
      <c r="AR200" s="89">
        <v>2.0</v>
      </c>
      <c r="AS200" s="89">
        <v>2.0</v>
      </c>
      <c r="AT200" s="89">
        <v>1.0</v>
      </c>
      <c r="AU200" s="7">
        <v>0.0</v>
      </c>
      <c r="AV200" s="7">
        <v>0.0</v>
      </c>
      <c r="AW200" s="7">
        <v>0.0</v>
      </c>
      <c r="AX200" s="7">
        <v>0.0</v>
      </c>
      <c r="AY200" s="7">
        <v>0.0</v>
      </c>
      <c r="AZ200" s="7">
        <v>0.0</v>
      </c>
      <c r="BA200" s="7">
        <v>0.0</v>
      </c>
      <c r="BB200" s="7">
        <v>0.0</v>
      </c>
      <c r="BC200" s="7">
        <v>0.0</v>
      </c>
      <c r="BD200" s="7">
        <v>0.0</v>
      </c>
      <c r="BE200" s="7">
        <v>0.0</v>
      </c>
      <c r="BF200" s="7">
        <v>0.0</v>
      </c>
      <c r="BG200" s="7">
        <v>0.0</v>
      </c>
      <c r="BH200" s="7">
        <v>0.0</v>
      </c>
      <c r="BI200" s="7">
        <v>0.0</v>
      </c>
      <c r="BJ200" s="7">
        <v>0.0</v>
      </c>
      <c r="BK200" s="87"/>
    </row>
    <row r="201">
      <c r="A201" s="88" t="s">
        <v>167</v>
      </c>
      <c r="B201" s="54">
        <v>0.0</v>
      </c>
      <c r="C201" s="54">
        <v>0.0</v>
      </c>
      <c r="D201" s="54">
        <v>0.0</v>
      </c>
      <c r="E201" s="54">
        <v>0.0</v>
      </c>
      <c r="F201" s="54">
        <v>0.0</v>
      </c>
      <c r="G201" s="54">
        <v>0.0</v>
      </c>
      <c r="H201" s="54">
        <v>0.0</v>
      </c>
      <c r="I201" s="54">
        <v>0.0</v>
      </c>
      <c r="J201" s="54">
        <v>0.0</v>
      </c>
      <c r="K201" s="54">
        <v>0.0</v>
      </c>
      <c r="L201" s="54">
        <v>0.0</v>
      </c>
      <c r="M201" s="54">
        <v>0.0</v>
      </c>
      <c r="N201" s="54">
        <v>0.0</v>
      </c>
      <c r="O201" s="54">
        <v>0.0</v>
      </c>
      <c r="P201" s="54">
        <v>0.0</v>
      </c>
      <c r="Q201" s="54">
        <v>0.0</v>
      </c>
      <c r="R201" s="54">
        <v>0.0</v>
      </c>
      <c r="S201" s="54">
        <v>0.0</v>
      </c>
      <c r="T201" s="54">
        <v>0.0</v>
      </c>
      <c r="U201" s="54">
        <v>0.0</v>
      </c>
      <c r="V201" s="54">
        <v>0.0</v>
      </c>
      <c r="W201" s="54">
        <v>0.0</v>
      </c>
      <c r="X201" s="54">
        <v>0.0</v>
      </c>
      <c r="Y201" s="54">
        <v>0.0</v>
      </c>
      <c r="Z201" s="54">
        <v>0.0</v>
      </c>
      <c r="AA201" s="54">
        <v>0.0</v>
      </c>
      <c r="AB201" s="54">
        <v>0.0</v>
      </c>
      <c r="AC201" s="55">
        <v>0.0</v>
      </c>
      <c r="AD201" s="54">
        <v>0.0</v>
      </c>
      <c r="AE201" s="54">
        <v>0.0</v>
      </c>
      <c r="AF201" s="54">
        <v>0.0</v>
      </c>
      <c r="AG201" s="54">
        <v>0.0</v>
      </c>
      <c r="AH201" s="54">
        <v>0.0</v>
      </c>
      <c r="AI201" s="54">
        <v>0.0</v>
      </c>
      <c r="AJ201" s="54">
        <v>0.0</v>
      </c>
      <c r="AK201" s="54">
        <v>0.0</v>
      </c>
      <c r="AL201" s="54">
        <v>0.0</v>
      </c>
      <c r="AM201" s="54">
        <v>0.0</v>
      </c>
      <c r="AN201" s="54">
        <v>0.0</v>
      </c>
      <c r="AO201" s="54">
        <v>0.0</v>
      </c>
      <c r="AP201" s="54">
        <v>0.0</v>
      </c>
      <c r="AQ201" s="54">
        <v>0.0</v>
      </c>
      <c r="AR201" s="54">
        <v>0.0</v>
      </c>
      <c r="AS201" s="89">
        <v>1.0</v>
      </c>
      <c r="AT201" s="54">
        <v>0.0</v>
      </c>
      <c r="AU201" s="54">
        <v>0.0</v>
      </c>
      <c r="AV201" s="54">
        <v>0.0</v>
      </c>
      <c r="AW201" s="54">
        <v>0.0</v>
      </c>
      <c r="AX201" s="54">
        <v>0.0</v>
      </c>
      <c r="AY201" s="54">
        <v>0.0</v>
      </c>
      <c r="AZ201" s="54">
        <v>0.0</v>
      </c>
      <c r="BA201" s="54">
        <v>0.0</v>
      </c>
      <c r="BB201" s="54">
        <v>0.0</v>
      </c>
      <c r="BC201" s="54">
        <v>0.0</v>
      </c>
      <c r="BD201" s="89">
        <v>2.0</v>
      </c>
      <c r="BE201" s="54">
        <v>0.0</v>
      </c>
      <c r="BF201" s="54">
        <v>0.0</v>
      </c>
      <c r="BG201" s="89">
        <v>1.0</v>
      </c>
      <c r="BH201" s="7">
        <v>0.0</v>
      </c>
      <c r="BI201" s="7">
        <v>0.0</v>
      </c>
      <c r="BJ201" s="7">
        <v>0.0</v>
      </c>
      <c r="BK201" s="87"/>
    </row>
    <row r="202">
      <c r="A202" s="88" t="s">
        <v>168</v>
      </c>
      <c r="B202" s="54">
        <v>0.0</v>
      </c>
      <c r="C202" s="54">
        <v>0.0</v>
      </c>
      <c r="D202" s="54">
        <v>0.0</v>
      </c>
      <c r="E202" s="54">
        <v>0.0</v>
      </c>
      <c r="F202" s="54">
        <v>0.0</v>
      </c>
      <c r="G202" s="54">
        <v>0.0</v>
      </c>
      <c r="H202" s="54">
        <v>0.0</v>
      </c>
      <c r="I202" s="54">
        <v>0.0</v>
      </c>
      <c r="J202" s="54">
        <v>0.0</v>
      </c>
      <c r="K202" s="54">
        <v>0.0</v>
      </c>
      <c r="L202" s="54">
        <v>0.0</v>
      </c>
      <c r="M202" s="54">
        <v>0.0</v>
      </c>
      <c r="N202" s="54">
        <v>0.0</v>
      </c>
      <c r="O202" s="54">
        <v>0.0</v>
      </c>
      <c r="P202" s="54">
        <v>0.0</v>
      </c>
      <c r="Q202" s="54">
        <v>0.0</v>
      </c>
      <c r="R202" s="54">
        <v>0.0</v>
      </c>
      <c r="S202" s="54">
        <v>0.0</v>
      </c>
      <c r="T202" s="54">
        <v>0.0</v>
      </c>
      <c r="U202" s="54">
        <v>0.0</v>
      </c>
      <c r="V202" s="54">
        <v>0.0</v>
      </c>
      <c r="W202" s="54">
        <v>0.0</v>
      </c>
      <c r="X202" s="54">
        <v>0.0</v>
      </c>
      <c r="Y202" s="54">
        <v>0.0</v>
      </c>
      <c r="Z202" s="54">
        <v>0.0</v>
      </c>
      <c r="AA202" s="54">
        <v>0.0</v>
      </c>
      <c r="AB202" s="54">
        <v>0.0</v>
      </c>
      <c r="AC202" s="55">
        <v>0.0</v>
      </c>
      <c r="AD202" s="54">
        <v>0.0</v>
      </c>
      <c r="AE202" s="54">
        <v>0.0</v>
      </c>
      <c r="AF202" s="54">
        <v>0.0</v>
      </c>
      <c r="AG202" s="54">
        <v>0.0</v>
      </c>
      <c r="AH202" s="54">
        <v>0.0</v>
      </c>
      <c r="AI202" s="54">
        <v>0.0</v>
      </c>
      <c r="AJ202" s="54">
        <v>0.0</v>
      </c>
      <c r="AK202" s="54">
        <v>0.0</v>
      </c>
      <c r="AL202" s="54">
        <v>0.0</v>
      </c>
      <c r="AM202" s="54">
        <v>0.0</v>
      </c>
      <c r="AN202" s="54">
        <v>0.0</v>
      </c>
      <c r="AO202" s="54">
        <v>0.0</v>
      </c>
      <c r="AP202" s="54">
        <v>0.0</v>
      </c>
      <c r="AQ202" s="54">
        <v>0.0</v>
      </c>
      <c r="AR202" s="54">
        <v>0.0</v>
      </c>
      <c r="AS202" s="54">
        <v>0.0</v>
      </c>
      <c r="AT202" s="54">
        <v>0.0</v>
      </c>
      <c r="AU202" s="54">
        <v>0.0</v>
      </c>
      <c r="AV202" s="54">
        <v>0.0</v>
      </c>
      <c r="AW202" s="54">
        <v>0.0</v>
      </c>
      <c r="AX202" s="54">
        <v>0.0</v>
      </c>
      <c r="AY202" s="54">
        <v>0.0</v>
      </c>
      <c r="AZ202" s="54">
        <v>0.0</v>
      </c>
      <c r="BA202" s="54">
        <v>0.0</v>
      </c>
      <c r="BB202" s="89">
        <v>2.0</v>
      </c>
      <c r="BC202" s="54">
        <v>0.0</v>
      </c>
      <c r="BD202" s="54">
        <v>0.0</v>
      </c>
      <c r="BE202" s="54">
        <v>0.0</v>
      </c>
      <c r="BF202" s="54">
        <v>0.0</v>
      </c>
      <c r="BG202" s="89">
        <v>1.0</v>
      </c>
      <c r="BH202" s="89">
        <v>1.0</v>
      </c>
      <c r="BI202" s="7">
        <v>0.0</v>
      </c>
      <c r="BJ202" s="7">
        <v>0.0</v>
      </c>
      <c r="BK202" s="87"/>
    </row>
    <row r="203">
      <c r="A203" s="90" t="s">
        <v>169</v>
      </c>
      <c r="B203" s="58">
        <v>0.0</v>
      </c>
      <c r="C203" s="58">
        <v>0.0</v>
      </c>
      <c r="D203" s="58">
        <v>0.0</v>
      </c>
      <c r="E203" s="58">
        <v>0.0</v>
      </c>
      <c r="F203" s="58">
        <v>0.0</v>
      </c>
      <c r="G203" s="58">
        <v>0.0</v>
      </c>
      <c r="H203" s="58">
        <v>0.0</v>
      </c>
      <c r="I203" s="58">
        <v>0.0</v>
      </c>
      <c r="J203" s="58">
        <v>0.0</v>
      </c>
      <c r="K203" s="58">
        <v>0.0</v>
      </c>
      <c r="L203" s="58">
        <v>0.0</v>
      </c>
      <c r="M203" s="58">
        <v>0.0</v>
      </c>
      <c r="N203" s="58">
        <v>0.0</v>
      </c>
      <c r="O203" s="58">
        <v>0.0</v>
      </c>
      <c r="P203" s="58">
        <v>0.0</v>
      </c>
      <c r="Q203" s="58">
        <v>0.0</v>
      </c>
      <c r="R203" s="58">
        <v>0.0</v>
      </c>
      <c r="S203" s="58">
        <v>0.0</v>
      </c>
      <c r="T203" s="58">
        <v>0.0</v>
      </c>
      <c r="U203" s="58">
        <v>0.0</v>
      </c>
      <c r="V203" s="58">
        <v>0.0</v>
      </c>
      <c r="W203" s="58">
        <v>0.0</v>
      </c>
      <c r="X203" s="58">
        <v>0.0</v>
      </c>
      <c r="Y203" s="58">
        <v>0.0</v>
      </c>
      <c r="Z203" s="58">
        <v>0.0</v>
      </c>
      <c r="AA203" s="58">
        <v>0.0</v>
      </c>
      <c r="AB203" s="58">
        <v>0.0</v>
      </c>
      <c r="AC203" s="59">
        <v>0.0</v>
      </c>
      <c r="AD203" s="58">
        <v>0.0</v>
      </c>
      <c r="AE203" s="58">
        <v>0.0</v>
      </c>
      <c r="AF203" s="58">
        <v>0.0</v>
      </c>
      <c r="AG203" s="58">
        <v>0.0</v>
      </c>
      <c r="AH203" s="58">
        <v>0.0</v>
      </c>
      <c r="AI203" s="58">
        <v>0.0</v>
      </c>
      <c r="AJ203" s="58">
        <v>0.0</v>
      </c>
      <c r="AK203" s="58">
        <v>0.0</v>
      </c>
      <c r="AL203" s="58">
        <v>0.0</v>
      </c>
      <c r="AM203" s="58">
        <v>0.0</v>
      </c>
      <c r="AN203" s="58">
        <v>0.0</v>
      </c>
      <c r="AO203" s="58">
        <v>0.0</v>
      </c>
      <c r="AP203" s="58">
        <v>0.0</v>
      </c>
      <c r="AQ203" s="58">
        <v>0.0</v>
      </c>
      <c r="AR203" s="58">
        <v>0.0</v>
      </c>
      <c r="AS203" s="58">
        <v>0.0</v>
      </c>
      <c r="AT203" s="58">
        <v>0.0</v>
      </c>
      <c r="AU203" s="58">
        <v>0.0</v>
      </c>
      <c r="AV203" s="58">
        <v>0.0</v>
      </c>
      <c r="AW203" s="58">
        <v>0.0</v>
      </c>
      <c r="AX203" s="58">
        <v>0.0</v>
      </c>
      <c r="AY203" s="58">
        <v>0.0</v>
      </c>
      <c r="AZ203" s="58">
        <v>0.0</v>
      </c>
      <c r="BA203" s="58">
        <v>0.0</v>
      </c>
      <c r="BB203" s="91">
        <v>1.0</v>
      </c>
      <c r="BC203" s="58">
        <v>0.0</v>
      </c>
      <c r="BD203" s="58">
        <v>0.0</v>
      </c>
      <c r="BE203" s="58">
        <v>0.0</v>
      </c>
      <c r="BF203" s="58">
        <v>0.0</v>
      </c>
      <c r="BG203" s="58">
        <v>0.0</v>
      </c>
      <c r="BH203" s="58">
        <v>0.0</v>
      </c>
      <c r="BI203" s="58">
        <v>0.0</v>
      </c>
      <c r="BJ203" s="91">
        <v>1.0</v>
      </c>
      <c r="BK203" s="87"/>
    </row>
    <row r="204">
      <c r="A204" s="92" t="s">
        <v>60</v>
      </c>
      <c r="B204" s="54">
        <v>0.0</v>
      </c>
      <c r="C204" s="54">
        <v>0.0</v>
      </c>
      <c r="D204" s="54">
        <v>0.0</v>
      </c>
      <c r="E204" s="54">
        <v>0.0</v>
      </c>
      <c r="F204" s="54">
        <v>0.0</v>
      </c>
      <c r="G204" s="54">
        <v>0.0</v>
      </c>
      <c r="H204" s="54">
        <v>0.0</v>
      </c>
      <c r="I204" s="54">
        <v>0.0</v>
      </c>
      <c r="J204" s="54">
        <v>0.0</v>
      </c>
      <c r="K204" s="54">
        <v>0.0</v>
      </c>
      <c r="L204" s="54">
        <v>0.0</v>
      </c>
      <c r="M204" s="54">
        <v>0.0</v>
      </c>
      <c r="N204" s="54">
        <v>0.0</v>
      </c>
      <c r="O204" s="54">
        <v>0.0</v>
      </c>
      <c r="P204" s="54">
        <v>0.0</v>
      </c>
      <c r="Q204" s="54">
        <v>0.0</v>
      </c>
      <c r="R204" s="54">
        <v>0.0</v>
      </c>
      <c r="S204" s="54">
        <v>0.0</v>
      </c>
      <c r="T204" s="54">
        <v>0.0</v>
      </c>
      <c r="U204" s="54">
        <v>0.0</v>
      </c>
      <c r="V204" s="54">
        <v>0.0</v>
      </c>
      <c r="W204" s="54">
        <v>0.0</v>
      </c>
      <c r="X204" s="54">
        <v>0.0</v>
      </c>
      <c r="Y204" s="54">
        <v>0.0</v>
      </c>
      <c r="Z204" s="54">
        <v>0.0</v>
      </c>
      <c r="AA204" s="54">
        <v>0.0</v>
      </c>
      <c r="AB204" s="54">
        <v>0.0</v>
      </c>
      <c r="AC204" s="55">
        <v>0.0</v>
      </c>
      <c r="AD204" s="54">
        <v>0.0</v>
      </c>
      <c r="AE204" s="54">
        <v>0.0</v>
      </c>
      <c r="AF204" s="54">
        <v>0.0</v>
      </c>
      <c r="AG204" s="54">
        <v>0.0</v>
      </c>
      <c r="AH204" s="54">
        <v>0.0</v>
      </c>
      <c r="AI204" s="54">
        <v>0.0</v>
      </c>
      <c r="AJ204" s="54">
        <v>0.0</v>
      </c>
      <c r="AK204" s="54">
        <v>0.0</v>
      </c>
      <c r="AL204" s="54">
        <v>0.0</v>
      </c>
      <c r="AM204" s="54">
        <v>0.0</v>
      </c>
      <c r="AN204" s="54">
        <v>0.0</v>
      </c>
      <c r="AO204" s="89">
        <v>2.0</v>
      </c>
      <c r="AP204" s="54">
        <v>0.0</v>
      </c>
      <c r="AQ204" s="89">
        <v>1.0</v>
      </c>
      <c r="AR204" s="89">
        <v>1.0</v>
      </c>
      <c r="AS204" s="7">
        <v>0.0</v>
      </c>
      <c r="AT204" s="7">
        <v>0.0</v>
      </c>
      <c r="AU204" s="7">
        <v>0.0</v>
      </c>
      <c r="AV204" s="7">
        <v>0.0</v>
      </c>
      <c r="AW204" s="7">
        <v>0.0</v>
      </c>
      <c r="AX204" s="7">
        <v>0.0</v>
      </c>
      <c r="AY204" s="7">
        <v>0.0</v>
      </c>
      <c r="AZ204" s="7">
        <v>0.0</v>
      </c>
      <c r="BA204" s="7">
        <v>0.0</v>
      </c>
      <c r="BB204" s="7">
        <v>0.0</v>
      </c>
      <c r="BC204" s="7">
        <v>0.0</v>
      </c>
      <c r="BD204" s="7">
        <v>0.0</v>
      </c>
      <c r="BE204" s="7">
        <v>0.0</v>
      </c>
      <c r="BF204" s="7">
        <v>0.0</v>
      </c>
      <c r="BG204" s="7">
        <v>0.0</v>
      </c>
      <c r="BH204" s="7">
        <v>0.0</v>
      </c>
      <c r="BI204" s="7">
        <v>0.0</v>
      </c>
      <c r="BJ204" s="7">
        <v>0.0</v>
      </c>
      <c r="BK204" s="87"/>
    </row>
    <row r="205">
      <c r="A205" s="92" t="s">
        <v>170</v>
      </c>
      <c r="B205" s="54">
        <v>0.0</v>
      </c>
      <c r="C205" s="54">
        <v>0.0</v>
      </c>
      <c r="D205" s="54">
        <v>0.0</v>
      </c>
      <c r="E205" s="54">
        <v>0.0</v>
      </c>
      <c r="F205" s="54">
        <v>0.0</v>
      </c>
      <c r="G205" s="54">
        <v>0.0</v>
      </c>
      <c r="H205" s="54">
        <v>0.0</v>
      </c>
      <c r="I205" s="54">
        <v>0.0</v>
      </c>
      <c r="J205" s="54">
        <v>0.0</v>
      </c>
      <c r="K205" s="54">
        <v>0.0</v>
      </c>
      <c r="L205" s="54">
        <v>0.0</v>
      </c>
      <c r="M205" s="54">
        <v>0.0</v>
      </c>
      <c r="N205" s="54">
        <v>0.0</v>
      </c>
      <c r="O205" s="54">
        <v>0.0</v>
      </c>
      <c r="P205" s="54">
        <v>0.0</v>
      </c>
      <c r="Q205" s="54">
        <v>0.0</v>
      </c>
      <c r="R205" s="54">
        <v>0.0</v>
      </c>
      <c r="S205" s="54">
        <v>0.0</v>
      </c>
      <c r="T205" s="54">
        <v>0.0</v>
      </c>
      <c r="U205" s="54">
        <v>0.0</v>
      </c>
      <c r="V205" s="54">
        <v>0.0</v>
      </c>
      <c r="W205" s="54">
        <v>0.0</v>
      </c>
      <c r="X205" s="54">
        <v>0.0</v>
      </c>
      <c r="Y205" s="54">
        <v>0.0</v>
      </c>
      <c r="Z205" s="54">
        <v>0.0</v>
      </c>
      <c r="AA205" s="54">
        <v>0.0</v>
      </c>
      <c r="AB205" s="54">
        <v>0.0</v>
      </c>
      <c r="AC205" s="55">
        <v>0.0</v>
      </c>
      <c r="AD205" s="54">
        <v>0.0</v>
      </c>
      <c r="AE205" s="54">
        <v>0.0</v>
      </c>
      <c r="AF205" s="54">
        <v>0.0</v>
      </c>
      <c r="AG205" s="54">
        <v>0.0</v>
      </c>
      <c r="AH205" s="54">
        <v>0.0</v>
      </c>
      <c r="AI205" s="54">
        <v>0.0</v>
      </c>
      <c r="AJ205" s="54">
        <v>0.0</v>
      </c>
      <c r="AK205" s="54">
        <v>0.0</v>
      </c>
      <c r="AL205" s="54">
        <v>0.0</v>
      </c>
      <c r="AM205" s="54">
        <v>0.0</v>
      </c>
      <c r="AN205" s="54">
        <v>0.0</v>
      </c>
      <c r="AO205" s="54">
        <v>0.0</v>
      </c>
      <c r="AP205" s="54">
        <v>0.0</v>
      </c>
      <c r="AQ205" s="54">
        <v>0.0</v>
      </c>
      <c r="AR205" s="89">
        <v>2.0</v>
      </c>
      <c r="AS205" s="54">
        <v>0.0</v>
      </c>
      <c r="AT205" s="89">
        <v>1.0</v>
      </c>
      <c r="AU205" s="7">
        <v>0.0</v>
      </c>
      <c r="AV205" s="7">
        <v>0.0</v>
      </c>
      <c r="AW205" s="7">
        <v>0.0</v>
      </c>
      <c r="AX205" s="7">
        <v>0.0</v>
      </c>
      <c r="AY205" s="7">
        <v>0.0</v>
      </c>
      <c r="AZ205" s="7">
        <v>0.0</v>
      </c>
      <c r="BA205" s="7">
        <v>0.0</v>
      </c>
      <c r="BB205" s="7">
        <v>0.0</v>
      </c>
      <c r="BC205" s="7">
        <v>0.0</v>
      </c>
      <c r="BD205" s="7">
        <v>0.0</v>
      </c>
      <c r="BE205" s="7">
        <v>0.0</v>
      </c>
      <c r="BF205" s="7">
        <v>0.0</v>
      </c>
      <c r="BG205" s="7">
        <v>0.0</v>
      </c>
      <c r="BH205" s="7">
        <v>0.0</v>
      </c>
      <c r="BI205" s="7">
        <v>0.0</v>
      </c>
      <c r="BJ205" s="7">
        <v>0.0</v>
      </c>
      <c r="BK205" s="87"/>
    </row>
    <row r="206">
      <c r="A206" s="92" t="s">
        <v>171</v>
      </c>
      <c r="B206" s="54">
        <v>0.0</v>
      </c>
      <c r="C206" s="54">
        <v>0.0</v>
      </c>
      <c r="D206" s="54">
        <v>0.0</v>
      </c>
      <c r="E206" s="54">
        <v>0.0</v>
      </c>
      <c r="F206" s="54">
        <v>0.0</v>
      </c>
      <c r="G206" s="54">
        <v>0.0</v>
      </c>
      <c r="H206" s="54">
        <v>0.0</v>
      </c>
      <c r="I206" s="54">
        <v>0.0</v>
      </c>
      <c r="J206" s="54">
        <v>0.0</v>
      </c>
      <c r="K206" s="54">
        <v>0.0</v>
      </c>
      <c r="L206" s="54">
        <v>0.0</v>
      </c>
      <c r="M206" s="54">
        <v>0.0</v>
      </c>
      <c r="N206" s="54">
        <v>0.0</v>
      </c>
      <c r="O206" s="54">
        <v>0.0</v>
      </c>
      <c r="P206" s="54">
        <v>0.0</v>
      </c>
      <c r="Q206" s="54">
        <v>0.0</v>
      </c>
      <c r="R206" s="54">
        <v>0.0</v>
      </c>
      <c r="S206" s="54">
        <v>0.0</v>
      </c>
      <c r="T206" s="54">
        <v>0.0</v>
      </c>
      <c r="U206" s="54">
        <v>0.0</v>
      </c>
      <c r="V206" s="54">
        <v>0.0</v>
      </c>
      <c r="W206" s="54">
        <v>0.0</v>
      </c>
      <c r="X206" s="54">
        <v>0.0</v>
      </c>
      <c r="Y206" s="54">
        <v>0.0</v>
      </c>
      <c r="Z206" s="54">
        <v>0.0</v>
      </c>
      <c r="AA206" s="54">
        <v>0.0</v>
      </c>
      <c r="AB206" s="54">
        <v>0.0</v>
      </c>
      <c r="AC206" s="55">
        <v>0.0</v>
      </c>
      <c r="AD206" s="54">
        <v>0.0</v>
      </c>
      <c r="AE206" s="54">
        <v>0.0</v>
      </c>
      <c r="AF206" s="54">
        <v>0.0</v>
      </c>
      <c r="AG206" s="54">
        <v>0.0</v>
      </c>
      <c r="AH206" s="54">
        <v>0.0</v>
      </c>
      <c r="AI206" s="54">
        <v>0.0</v>
      </c>
      <c r="AJ206" s="54">
        <v>0.0</v>
      </c>
      <c r="AK206" s="54">
        <v>0.0</v>
      </c>
      <c r="AL206" s="54">
        <v>0.0</v>
      </c>
      <c r="AM206" s="54">
        <v>0.0</v>
      </c>
      <c r="AN206" s="54">
        <v>0.0</v>
      </c>
      <c r="AO206" s="54">
        <v>0.0</v>
      </c>
      <c r="AP206" s="54">
        <v>0.0</v>
      </c>
      <c r="AQ206" s="54">
        <v>0.0</v>
      </c>
      <c r="AR206" s="54">
        <v>0.0</v>
      </c>
      <c r="AS206" s="54">
        <v>0.0</v>
      </c>
      <c r="AT206" s="54">
        <v>0.0</v>
      </c>
      <c r="AU206" s="89">
        <v>1.0</v>
      </c>
      <c r="AV206" s="54">
        <v>0.0</v>
      </c>
      <c r="AW206" s="89">
        <v>1.0</v>
      </c>
      <c r="AX206" s="54">
        <v>0.0</v>
      </c>
      <c r="AY206" s="54">
        <v>0.0</v>
      </c>
      <c r="AZ206" s="54">
        <v>0.0</v>
      </c>
      <c r="BA206" s="89">
        <v>2.0</v>
      </c>
      <c r="BB206" s="89">
        <v>1.0</v>
      </c>
      <c r="BC206" s="7">
        <v>0.0</v>
      </c>
      <c r="BD206" s="7">
        <v>0.0</v>
      </c>
      <c r="BE206" s="7">
        <v>0.0</v>
      </c>
      <c r="BF206" s="7">
        <v>0.0</v>
      </c>
      <c r="BG206" s="7">
        <v>0.0</v>
      </c>
      <c r="BH206" s="7">
        <v>0.0</v>
      </c>
      <c r="BI206" s="7">
        <v>0.0</v>
      </c>
      <c r="BJ206" s="7">
        <v>0.0</v>
      </c>
      <c r="BK206" s="87"/>
    </row>
    <row r="207">
      <c r="A207" s="92" t="s">
        <v>172</v>
      </c>
      <c r="B207" s="54">
        <v>0.0</v>
      </c>
      <c r="C207" s="54">
        <v>0.0</v>
      </c>
      <c r="D207" s="54">
        <v>0.0</v>
      </c>
      <c r="E207" s="54">
        <v>0.0</v>
      </c>
      <c r="F207" s="54">
        <v>0.0</v>
      </c>
      <c r="G207" s="54">
        <v>0.0</v>
      </c>
      <c r="H207" s="54">
        <v>0.0</v>
      </c>
      <c r="I207" s="54">
        <v>0.0</v>
      </c>
      <c r="J207" s="54">
        <v>0.0</v>
      </c>
      <c r="K207" s="54">
        <v>0.0</v>
      </c>
      <c r="L207" s="54">
        <v>0.0</v>
      </c>
      <c r="M207" s="54">
        <v>0.0</v>
      </c>
      <c r="N207" s="54">
        <v>0.0</v>
      </c>
      <c r="O207" s="54">
        <v>0.0</v>
      </c>
      <c r="P207" s="54">
        <v>0.0</v>
      </c>
      <c r="Q207" s="54">
        <v>0.0</v>
      </c>
      <c r="R207" s="54">
        <v>0.0</v>
      </c>
      <c r="S207" s="54">
        <v>0.0</v>
      </c>
      <c r="T207" s="54">
        <v>0.0</v>
      </c>
      <c r="U207" s="54">
        <v>0.0</v>
      </c>
      <c r="V207" s="54">
        <v>0.0</v>
      </c>
      <c r="W207" s="54">
        <v>0.0</v>
      </c>
      <c r="X207" s="54">
        <v>0.0</v>
      </c>
      <c r="Y207" s="54">
        <v>0.0</v>
      </c>
      <c r="Z207" s="54">
        <v>0.0</v>
      </c>
      <c r="AA207" s="54">
        <v>0.0</v>
      </c>
      <c r="AB207" s="54">
        <v>0.0</v>
      </c>
      <c r="AC207" s="55">
        <v>0.0</v>
      </c>
      <c r="AD207" s="54">
        <v>0.0</v>
      </c>
      <c r="AE207" s="54">
        <v>0.0</v>
      </c>
      <c r="AF207" s="54">
        <v>0.0</v>
      </c>
      <c r="AG207" s="54">
        <v>0.0</v>
      </c>
      <c r="AH207" s="54">
        <v>0.0</v>
      </c>
      <c r="AI207" s="54">
        <v>0.0</v>
      </c>
      <c r="AJ207" s="54">
        <v>0.0</v>
      </c>
      <c r="AK207" s="54">
        <v>0.0</v>
      </c>
      <c r="AL207" s="54">
        <v>0.0</v>
      </c>
      <c r="AM207" s="54">
        <v>0.0</v>
      </c>
      <c r="AN207" s="54">
        <v>0.0</v>
      </c>
      <c r="AO207" s="89">
        <v>0.0</v>
      </c>
      <c r="AP207" s="54">
        <v>0.0</v>
      </c>
      <c r="AQ207" s="54">
        <v>0.0</v>
      </c>
      <c r="AR207" s="54">
        <v>0.0</v>
      </c>
      <c r="AS207" s="54">
        <v>0.0</v>
      </c>
      <c r="AT207" s="54">
        <v>0.0</v>
      </c>
      <c r="AU207" s="89">
        <v>1.0</v>
      </c>
      <c r="AV207" s="89">
        <v>2.0</v>
      </c>
      <c r="AW207" s="89">
        <v>1.0</v>
      </c>
      <c r="AX207" s="7">
        <v>0.0</v>
      </c>
      <c r="AY207" s="7">
        <v>0.0</v>
      </c>
      <c r="AZ207" s="7">
        <v>0.0</v>
      </c>
      <c r="BA207" s="7">
        <v>0.0</v>
      </c>
      <c r="BB207" s="7">
        <v>0.0</v>
      </c>
      <c r="BC207" s="7">
        <v>0.0</v>
      </c>
      <c r="BD207" s="7">
        <v>0.0</v>
      </c>
      <c r="BE207" s="7">
        <v>0.0</v>
      </c>
      <c r="BF207" s="7">
        <v>0.0</v>
      </c>
      <c r="BG207" s="7">
        <v>0.0</v>
      </c>
      <c r="BH207" s="7">
        <v>0.0</v>
      </c>
      <c r="BI207" s="7">
        <v>0.0</v>
      </c>
      <c r="BJ207" s="7">
        <v>0.0</v>
      </c>
      <c r="BK207" s="87"/>
    </row>
    <row r="208">
      <c r="A208" s="92" t="s">
        <v>173</v>
      </c>
      <c r="B208" s="54">
        <v>0.0</v>
      </c>
      <c r="C208" s="54">
        <v>0.0</v>
      </c>
      <c r="D208" s="54">
        <v>0.0</v>
      </c>
      <c r="E208" s="54">
        <v>0.0</v>
      </c>
      <c r="F208" s="54">
        <v>0.0</v>
      </c>
      <c r="G208" s="54">
        <v>0.0</v>
      </c>
      <c r="H208" s="54">
        <v>0.0</v>
      </c>
      <c r="I208" s="54">
        <v>0.0</v>
      </c>
      <c r="J208" s="54">
        <v>0.0</v>
      </c>
      <c r="K208" s="54">
        <v>0.0</v>
      </c>
      <c r="L208" s="54">
        <v>0.0</v>
      </c>
      <c r="M208" s="54">
        <v>0.0</v>
      </c>
      <c r="N208" s="54">
        <v>0.0</v>
      </c>
      <c r="O208" s="54">
        <v>0.0</v>
      </c>
      <c r="P208" s="54">
        <v>0.0</v>
      </c>
      <c r="Q208" s="54">
        <v>0.0</v>
      </c>
      <c r="R208" s="54">
        <v>0.0</v>
      </c>
      <c r="S208" s="54">
        <v>0.0</v>
      </c>
      <c r="T208" s="54">
        <v>0.0</v>
      </c>
      <c r="U208" s="54">
        <v>0.0</v>
      </c>
      <c r="V208" s="54">
        <v>0.0</v>
      </c>
      <c r="W208" s="54">
        <v>0.0</v>
      </c>
      <c r="X208" s="54">
        <v>0.0</v>
      </c>
      <c r="Y208" s="54">
        <v>0.0</v>
      </c>
      <c r="Z208" s="54">
        <v>0.0</v>
      </c>
      <c r="AA208" s="54">
        <v>0.0</v>
      </c>
      <c r="AB208" s="54">
        <v>0.0</v>
      </c>
      <c r="AC208" s="55">
        <v>0.0</v>
      </c>
      <c r="AD208" s="54">
        <v>0.0</v>
      </c>
      <c r="AE208" s="54">
        <v>0.0</v>
      </c>
      <c r="AF208" s="54">
        <v>0.0</v>
      </c>
      <c r="AG208" s="54">
        <v>0.0</v>
      </c>
      <c r="AH208" s="54">
        <v>0.0</v>
      </c>
      <c r="AI208" s="54">
        <v>0.0</v>
      </c>
      <c r="AJ208" s="54">
        <v>0.0</v>
      </c>
      <c r="AK208" s="54">
        <v>0.0</v>
      </c>
      <c r="AL208" s="54">
        <v>0.0</v>
      </c>
      <c r="AM208" s="54">
        <v>0.0</v>
      </c>
      <c r="AN208" s="54">
        <v>0.0</v>
      </c>
      <c r="AO208" s="54">
        <v>0.0</v>
      </c>
      <c r="AP208" s="54">
        <v>0.0</v>
      </c>
      <c r="AQ208" s="54">
        <v>0.0</v>
      </c>
      <c r="AR208" s="54">
        <v>0.0</v>
      </c>
      <c r="AS208" s="54">
        <v>0.0</v>
      </c>
      <c r="AT208" s="54">
        <v>0.0</v>
      </c>
      <c r="AU208" s="54">
        <v>0.0</v>
      </c>
      <c r="AV208" s="89">
        <v>1.0</v>
      </c>
      <c r="AW208" s="54">
        <v>0.0</v>
      </c>
      <c r="AX208" s="54">
        <v>0.0</v>
      </c>
      <c r="AY208" s="54">
        <v>0.0</v>
      </c>
      <c r="AZ208" s="54">
        <v>0.0</v>
      </c>
      <c r="BA208" s="54">
        <v>0.0</v>
      </c>
      <c r="BB208" s="54">
        <v>0.0</v>
      </c>
      <c r="BC208" s="54">
        <v>0.0</v>
      </c>
      <c r="BD208" s="89">
        <v>1.0</v>
      </c>
      <c r="BE208" s="89">
        <v>1.0</v>
      </c>
      <c r="BF208" s="54">
        <v>0.0</v>
      </c>
      <c r="BG208" s="54">
        <v>0.0</v>
      </c>
      <c r="BH208" s="89">
        <v>1.0</v>
      </c>
      <c r="BI208" s="7">
        <v>0.0</v>
      </c>
      <c r="BJ208" s="7">
        <v>0.0</v>
      </c>
      <c r="BK208" s="87"/>
    </row>
    <row r="209">
      <c r="A209" s="93" t="s">
        <v>174</v>
      </c>
      <c r="B209" s="54">
        <v>0.0</v>
      </c>
      <c r="C209" s="54">
        <v>0.0</v>
      </c>
      <c r="D209" s="54">
        <v>0.0</v>
      </c>
      <c r="E209" s="54">
        <v>0.0</v>
      </c>
      <c r="F209" s="54">
        <v>0.0</v>
      </c>
      <c r="G209" s="54">
        <v>0.0</v>
      </c>
      <c r="H209" s="54">
        <v>0.0</v>
      </c>
      <c r="I209" s="54">
        <v>0.0</v>
      </c>
      <c r="J209" s="54">
        <v>0.0</v>
      </c>
      <c r="K209" s="54">
        <v>0.0</v>
      </c>
      <c r="L209" s="54">
        <v>0.0</v>
      </c>
      <c r="M209" s="54">
        <v>0.0</v>
      </c>
      <c r="N209" s="54">
        <v>0.0</v>
      </c>
      <c r="O209" s="54">
        <v>0.0</v>
      </c>
      <c r="P209" s="54">
        <v>0.0</v>
      </c>
      <c r="Q209" s="54">
        <v>0.0</v>
      </c>
      <c r="R209" s="54">
        <v>0.0</v>
      </c>
      <c r="S209" s="54">
        <v>0.0</v>
      </c>
      <c r="T209" s="54">
        <v>0.0</v>
      </c>
      <c r="U209" s="54">
        <v>0.0</v>
      </c>
      <c r="V209" s="54">
        <v>0.0</v>
      </c>
      <c r="W209" s="54">
        <v>0.0</v>
      </c>
      <c r="X209" s="54">
        <v>0.0</v>
      </c>
      <c r="Y209" s="54">
        <v>0.0</v>
      </c>
      <c r="Z209" s="54">
        <v>0.0</v>
      </c>
      <c r="AA209" s="54">
        <v>0.0</v>
      </c>
      <c r="AB209" s="54">
        <v>0.0</v>
      </c>
      <c r="AC209" s="55">
        <v>0.0</v>
      </c>
      <c r="AD209" s="54">
        <v>0.0</v>
      </c>
      <c r="AE209" s="54">
        <v>0.0</v>
      </c>
      <c r="AF209" s="54">
        <v>0.0</v>
      </c>
      <c r="AG209" s="54">
        <v>0.0</v>
      </c>
      <c r="AH209" s="54">
        <v>0.0</v>
      </c>
      <c r="AI209" s="54">
        <v>0.0</v>
      </c>
      <c r="AJ209" s="54">
        <v>0.0</v>
      </c>
      <c r="AK209" s="54">
        <v>0.0</v>
      </c>
      <c r="AL209" s="54">
        <v>0.0</v>
      </c>
      <c r="AM209" s="54">
        <v>0.0</v>
      </c>
      <c r="AN209" s="54">
        <v>0.0</v>
      </c>
      <c r="AO209" s="54">
        <v>0.0</v>
      </c>
      <c r="AP209" s="54">
        <v>0.0</v>
      </c>
      <c r="AQ209" s="54">
        <v>0.0</v>
      </c>
      <c r="AR209" s="54">
        <v>0.0</v>
      </c>
      <c r="AS209" s="54">
        <v>0.0</v>
      </c>
      <c r="AT209" s="54">
        <v>0.0</v>
      </c>
      <c r="AU209" s="54">
        <v>0.0</v>
      </c>
      <c r="AV209" s="54">
        <v>0.0</v>
      </c>
      <c r="AW209" s="54">
        <v>0.0</v>
      </c>
      <c r="AX209" s="54">
        <v>0.0</v>
      </c>
      <c r="AY209" s="54">
        <v>0.0</v>
      </c>
      <c r="AZ209" s="54">
        <v>0.0</v>
      </c>
      <c r="BA209" s="54">
        <v>0.0</v>
      </c>
      <c r="BB209" s="54">
        <v>0.0</v>
      </c>
      <c r="BC209" s="54">
        <v>0.0</v>
      </c>
      <c r="BD209" s="54">
        <v>0.0</v>
      </c>
      <c r="BE209" s="54">
        <v>0.0</v>
      </c>
      <c r="BF209" s="54">
        <v>0.0</v>
      </c>
      <c r="BG209" s="89">
        <v>2.0</v>
      </c>
      <c r="BH209" s="54">
        <v>0.0</v>
      </c>
      <c r="BI209" s="54">
        <v>0.0</v>
      </c>
      <c r="BJ209" s="89">
        <v>1.0</v>
      </c>
      <c r="BK209" s="87"/>
    </row>
    <row r="210" ht="15.75" customHeight="1">
      <c r="A210" s="94" t="s">
        <v>60</v>
      </c>
      <c r="B210" s="95">
        <v>0.0</v>
      </c>
      <c r="C210" s="95">
        <v>0.0</v>
      </c>
      <c r="D210" s="95">
        <v>0.0</v>
      </c>
      <c r="E210" s="95">
        <v>0.0</v>
      </c>
      <c r="F210" s="95">
        <v>0.0</v>
      </c>
      <c r="G210" s="95">
        <v>0.0</v>
      </c>
      <c r="H210" s="95">
        <v>0.0</v>
      </c>
      <c r="I210" s="95">
        <v>0.0</v>
      </c>
      <c r="J210" s="95">
        <v>0.0</v>
      </c>
      <c r="K210" s="95">
        <v>0.0</v>
      </c>
      <c r="L210" s="95">
        <v>0.0</v>
      </c>
      <c r="M210" s="95">
        <v>0.0</v>
      </c>
      <c r="N210" s="95">
        <v>0.0</v>
      </c>
      <c r="O210" s="95">
        <v>0.0</v>
      </c>
      <c r="P210" s="95">
        <v>0.0</v>
      </c>
      <c r="Q210" s="95">
        <v>0.0</v>
      </c>
      <c r="R210" s="95">
        <v>0.0</v>
      </c>
      <c r="S210" s="95">
        <v>0.0</v>
      </c>
      <c r="T210" s="95">
        <v>0.0</v>
      </c>
      <c r="U210" s="95">
        <v>0.0</v>
      </c>
      <c r="V210" s="95">
        <v>0.0</v>
      </c>
      <c r="W210" s="95">
        <v>0.0</v>
      </c>
      <c r="X210" s="95">
        <v>0.0</v>
      </c>
      <c r="Y210" s="95">
        <v>0.0</v>
      </c>
      <c r="Z210" s="95">
        <v>0.0</v>
      </c>
      <c r="AA210" s="95">
        <v>0.0</v>
      </c>
      <c r="AB210" s="95">
        <v>0.0</v>
      </c>
      <c r="AC210" s="96">
        <v>0.0</v>
      </c>
      <c r="AD210" s="95">
        <v>0.0</v>
      </c>
      <c r="AE210" s="95">
        <v>0.0</v>
      </c>
      <c r="AF210" s="95">
        <v>0.0</v>
      </c>
      <c r="AG210" s="95">
        <v>0.0</v>
      </c>
      <c r="AH210" s="95">
        <v>0.0</v>
      </c>
      <c r="AI210" s="95">
        <v>0.0</v>
      </c>
      <c r="AJ210" s="95">
        <v>0.0</v>
      </c>
      <c r="AK210" s="95">
        <v>0.0</v>
      </c>
      <c r="AL210" s="95">
        <v>0.0</v>
      </c>
      <c r="AM210" s="95">
        <v>0.0</v>
      </c>
      <c r="AN210" s="95">
        <v>0.0</v>
      </c>
      <c r="AO210" s="95">
        <v>6.0</v>
      </c>
      <c r="AP210" s="95">
        <v>3.0</v>
      </c>
      <c r="AQ210" s="5">
        <v>0.0</v>
      </c>
      <c r="AR210" s="5">
        <v>0.0</v>
      </c>
      <c r="AS210" s="5">
        <v>0.0</v>
      </c>
      <c r="AT210" s="5">
        <v>0.0</v>
      </c>
      <c r="AU210" s="5">
        <v>0.0</v>
      </c>
      <c r="AV210" s="5">
        <v>0.0</v>
      </c>
      <c r="AW210" s="5">
        <v>0.0</v>
      </c>
      <c r="AX210" s="5">
        <v>0.0</v>
      </c>
      <c r="AY210" s="5">
        <v>0.0</v>
      </c>
      <c r="AZ210" s="5">
        <v>0.0</v>
      </c>
      <c r="BA210" s="5">
        <v>0.0</v>
      </c>
      <c r="BB210" s="5">
        <v>0.0</v>
      </c>
      <c r="BC210" s="5">
        <v>0.0</v>
      </c>
      <c r="BD210" s="5">
        <v>0.0</v>
      </c>
      <c r="BE210" s="5">
        <v>0.0</v>
      </c>
      <c r="BF210" s="5">
        <v>0.0</v>
      </c>
      <c r="BG210" s="5">
        <v>0.0</v>
      </c>
      <c r="BH210" s="5">
        <v>0.0</v>
      </c>
      <c r="BI210" s="5">
        <v>0.0</v>
      </c>
      <c r="BJ210" s="5">
        <v>0.0</v>
      </c>
      <c r="BK210" s="87"/>
    </row>
    <row r="211" ht="15.75" customHeight="1">
      <c r="A211" s="67" t="s">
        <v>175</v>
      </c>
      <c r="B211" s="54">
        <v>0.0</v>
      </c>
      <c r="C211" s="54">
        <v>0.0</v>
      </c>
      <c r="D211" s="54">
        <v>0.0</v>
      </c>
      <c r="E211" s="54">
        <v>0.0</v>
      </c>
      <c r="F211" s="54">
        <v>0.0</v>
      </c>
      <c r="G211" s="54">
        <v>0.0</v>
      </c>
      <c r="H211" s="54">
        <v>0.0</v>
      </c>
      <c r="I211" s="54">
        <v>0.0</v>
      </c>
      <c r="J211" s="54">
        <v>0.0</v>
      </c>
      <c r="K211" s="54">
        <v>0.0</v>
      </c>
      <c r="L211" s="54">
        <v>0.0</v>
      </c>
      <c r="M211" s="54">
        <v>0.0</v>
      </c>
      <c r="N211" s="54">
        <v>0.0</v>
      </c>
      <c r="O211" s="54">
        <v>0.0</v>
      </c>
      <c r="P211" s="54">
        <v>0.0</v>
      </c>
      <c r="Q211" s="54">
        <v>0.0</v>
      </c>
      <c r="R211" s="54">
        <v>0.0</v>
      </c>
      <c r="S211" s="54">
        <v>0.0</v>
      </c>
      <c r="T211" s="54">
        <v>0.0</v>
      </c>
      <c r="U211" s="54">
        <v>0.0</v>
      </c>
      <c r="V211" s="54">
        <v>0.0</v>
      </c>
      <c r="W211" s="54">
        <v>0.0</v>
      </c>
      <c r="X211" s="54">
        <v>0.0</v>
      </c>
      <c r="Y211" s="54">
        <v>0.0</v>
      </c>
      <c r="Z211" s="54">
        <v>0.0</v>
      </c>
      <c r="AA211" s="54">
        <v>0.0</v>
      </c>
      <c r="AB211" s="54">
        <v>0.0</v>
      </c>
      <c r="AC211" s="55">
        <v>0.0</v>
      </c>
      <c r="AD211" s="54">
        <v>0.0</v>
      </c>
      <c r="AE211" s="54">
        <v>0.0</v>
      </c>
      <c r="AF211" s="54">
        <v>0.0</v>
      </c>
      <c r="AG211" s="54">
        <v>0.0</v>
      </c>
      <c r="AH211" s="54">
        <v>0.0</v>
      </c>
      <c r="AI211" s="54">
        <v>0.0</v>
      </c>
      <c r="AJ211" s="54">
        <v>0.0</v>
      </c>
      <c r="AK211" s="54">
        <v>0.0</v>
      </c>
      <c r="AL211" s="54">
        <v>0.0</v>
      </c>
      <c r="AM211" s="54">
        <v>0.0</v>
      </c>
      <c r="AN211" s="54">
        <v>0.0</v>
      </c>
      <c r="AO211" s="54">
        <v>0.0</v>
      </c>
      <c r="AP211" s="54">
        <v>0.0</v>
      </c>
      <c r="AQ211" s="54">
        <v>0.0</v>
      </c>
      <c r="AR211" s="54">
        <v>0.0</v>
      </c>
      <c r="AS211" s="54">
        <v>4.0</v>
      </c>
      <c r="AT211" s="54">
        <v>2.0</v>
      </c>
      <c r="AU211" s="7">
        <v>0.0</v>
      </c>
      <c r="AV211" s="7">
        <v>0.0</v>
      </c>
      <c r="AW211" s="7">
        <v>0.0</v>
      </c>
      <c r="AX211" s="7">
        <v>0.0</v>
      </c>
      <c r="AY211" s="7">
        <v>0.0</v>
      </c>
      <c r="AZ211" s="7">
        <v>0.0</v>
      </c>
      <c r="BA211" s="7">
        <v>0.0</v>
      </c>
      <c r="BB211" s="7">
        <v>0.0</v>
      </c>
      <c r="BC211" s="7">
        <v>0.0</v>
      </c>
      <c r="BD211" s="7">
        <v>0.0</v>
      </c>
      <c r="BE211" s="7">
        <v>0.0</v>
      </c>
      <c r="BF211" s="7">
        <v>0.0</v>
      </c>
      <c r="BG211" s="7">
        <v>0.0</v>
      </c>
      <c r="BH211" s="7">
        <v>0.0</v>
      </c>
      <c r="BI211" s="7">
        <v>0.0</v>
      </c>
      <c r="BJ211" s="7">
        <v>0.0</v>
      </c>
      <c r="BK211" s="87"/>
    </row>
    <row r="212" ht="15.75" customHeight="1">
      <c r="A212" s="67" t="s">
        <v>176</v>
      </c>
      <c r="B212" s="54">
        <v>0.0</v>
      </c>
      <c r="C212" s="54">
        <v>0.0</v>
      </c>
      <c r="D212" s="54">
        <v>0.0</v>
      </c>
      <c r="E212" s="54">
        <v>0.0</v>
      </c>
      <c r="F212" s="54">
        <v>0.0</v>
      </c>
      <c r="G212" s="54">
        <v>0.0</v>
      </c>
      <c r="H212" s="54">
        <v>0.0</v>
      </c>
      <c r="I212" s="54">
        <v>0.0</v>
      </c>
      <c r="J212" s="54">
        <v>0.0</v>
      </c>
      <c r="K212" s="54">
        <v>0.0</v>
      </c>
      <c r="L212" s="54">
        <v>0.0</v>
      </c>
      <c r="M212" s="54">
        <v>0.0</v>
      </c>
      <c r="N212" s="54">
        <v>0.0</v>
      </c>
      <c r="O212" s="54">
        <v>0.0</v>
      </c>
      <c r="P212" s="54">
        <v>0.0</v>
      </c>
      <c r="Q212" s="54">
        <v>0.0</v>
      </c>
      <c r="R212" s="54">
        <v>0.0</v>
      </c>
      <c r="S212" s="54">
        <v>0.0</v>
      </c>
      <c r="T212" s="54">
        <v>0.0</v>
      </c>
      <c r="U212" s="54">
        <v>0.0</v>
      </c>
      <c r="V212" s="54">
        <v>0.0</v>
      </c>
      <c r="W212" s="54">
        <v>0.0</v>
      </c>
      <c r="X212" s="54">
        <v>0.0</v>
      </c>
      <c r="Y212" s="54">
        <v>0.0</v>
      </c>
      <c r="Z212" s="54">
        <v>0.0</v>
      </c>
      <c r="AA212" s="54">
        <v>0.0</v>
      </c>
      <c r="AB212" s="54">
        <v>0.0</v>
      </c>
      <c r="AC212" s="55">
        <v>0.0</v>
      </c>
      <c r="AD212" s="54">
        <v>0.0</v>
      </c>
      <c r="AE212" s="54">
        <v>0.0</v>
      </c>
      <c r="AF212" s="54">
        <v>0.0</v>
      </c>
      <c r="AG212" s="54">
        <v>0.0</v>
      </c>
      <c r="AH212" s="54">
        <v>0.0</v>
      </c>
      <c r="AI212" s="54">
        <v>0.0</v>
      </c>
      <c r="AJ212" s="54">
        <v>0.0</v>
      </c>
      <c r="AK212" s="54">
        <v>0.0</v>
      </c>
      <c r="AL212" s="54">
        <v>0.0</v>
      </c>
      <c r="AM212" s="54">
        <v>0.0</v>
      </c>
      <c r="AN212" s="54">
        <v>0.0</v>
      </c>
      <c r="AO212" s="54">
        <v>0.0</v>
      </c>
      <c r="AP212" s="54">
        <v>0.0</v>
      </c>
      <c r="AQ212" s="54">
        <v>0.0</v>
      </c>
      <c r="AR212" s="54">
        <v>0.0</v>
      </c>
      <c r="AS212" s="54">
        <v>0.0</v>
      </c>
      <c r="AT212" s="54">
        <v>5.0</v>
      </c>
      <c r="AU212" s="54">
        <v>3.0</v>
      </c>
      <c r="AV212" s="7">
        <v>0.0</v>
      </c>
      <c r="AW212" s="7">
        <v>0.0</v>
      </c>
      <c r="AX212" s="7">
        <v>0.0</v>
      </c>
      <c r="AY212" s="7">
        <v>0.0</v>
      </c>
      <c r="AZ212" s="7">
        <v>0.0</v>
      </c>
      <c r="BA212" s="7">
        <v>0.0</v>
      </c>
      <c r="BB212" s="7">
        <v>0.0</v>
      </c>
      <c r="BC212" s="7">
        <v>0.0</v>
      </c>
      <c r="BD212" s="7">
        <v>0.0</v>
      </c>
      <c r="BE212" s="7">
        <v>0.0</v>
      </c>
      <c r="BF212" s="7">
        <v>0.0</v>
      </c>
      <c r="BG212" s="7">
        <v>0.0</v>
      </c>
      <c r="BH212" s="7">
        <v>0.0</v>
      </c>
      <c r="BI212" s="7">
        <v>0.0</v>
      </c>
      <c r="BJ212" s="8">
        <v>0.0</v>
      </c>
    </row>
    <row r="213" ht="15.75" customHeight="1">
      <c r="A213" s="67" t="s">
        <v>177</v>
      </c>
      <c r="B213" s="54">
        <v>0.0</v>
      </c>
      <c r="C213" s="54">
        <v>0.0</v>
      </c>
      <c r="D213" s="54">
        <v>0.0</v>
      </c>
      <c r="E213" s="54">
        <v>0.0</v>
      </c>
      <c r="F213" s="54">
        <v>0.0</v>
      </c>
      <c r="G213" s="54">
        <v>0.0</v>
      </c>
      <c r="H213" s="54">
        <v>0.0</v>
      </c>
      <c r="I213" s="54">
        <v>0.0</v>
      </c>
      <c r="J213" s="54">
        <v>0.0</v>
      </c>
      <c r="K213" s="54">
        <v>0.0</v>
      </c>
      <c r="L213" s="54">
        <v>0.0</v>
      </c>
      <c r="M213" s="54">
        <v>0.0</v>
      </c>
      <c r="N213" s="54">
        <v>0.0</v>
      </c>
      <c r="O213" s="54">
        <v>0.0</v>
      </c>
      <c r="P213" s="54">
        <v>0.0</v>
      </c>
      <c r="Q213" s="54">
        <v>0.0</v>
      </c>
      <c r="R213" s="54">
        <v>0.0</v>
      </c>
      <c r="S213" s="54">
        <v>0.0</v>
      </c>
      <c r="T213" s="54">
        <v>0.0</v>
      </c>
      <c r="U213" s="54">
        <v>0.0</v>
      </c>
      <c r="V213" s="54">
        <v>0.0</v>
      </c>
      <c r="W213" s="54">
        <v>0.0</v>
      </c>
      <c r="X213" s="54">
        <v>0.0</v>
      </c>
      <c r="Y213" s="54">
        <v>0.0</v>
      </c>
      <c r="Z213" s="54">
        <v>0.0</v>
      </c>
      <c r="AA213" s="54">
        <v>0.0</v>
      </c>
      <c r="AB213" s="54">
        <v>0.0</v>
      </c>
      <c r="AC213" s="55">
        <v>0.0</v>
      </c>
      <c r="AD213" s="54">
        <v>0.0</v>
      </c>
      <c r="AE213" s="54">
        <v>0.0</v>
      </c>
      <c r="AF213" s="54">
        <v>0.0</v>
      </c>
      <c r="AG213" s="54">
        <v>0.0</v>
      </c>
      <c r="AH213" s="54">
        <v>0.0</v>
      </c>
      <c r="AI213" s="54">
        <v>0.0</v>
      </c>
      <c r="AJ213" s="54">
        <v>0.0</v>
      </c>
      <c r="AK213" s="54">
        <v>0.0</v>
      </c>
      <c r="AL213" s="54">
        <v>0.0</v>
      </c>
      <c r="AM213" s="54">
        <v>0.0</v>
      </c>
      <c r="AN213" s="54">
        <v>0.0</v>
      </c>
      <c r="AO213" s="54">
        <v>0.0</v>
      </c>
      <c r="AP213" s="54">
        <v>0.0</v>
      </c>
      <c r="AQ213" s="54">
        <v>0.0</v>
      </c>
      <c r="AR213" s="54">
        <v>0.0</v>
      </c>
      <c r="AS213" s="54">
        <v>0.0</v>
      </c>
      <c r="AT213" s="54">
        <v>0.0</v>
      </c>
      <c r="AU213" s="54">
        <v>1.0</v>
      </c>
      <c r="AV213" s="54">
        <v>3.0</v>
      </c>
      <c r="AW213" s="7">
        <v>0.0</v>
      </c>
      <c r="AX213" s="7">
        <v>0.0</v>
      </c>
      <c r="AY213" s="7">
        <v>0.0</v>
      </c>
      <c r="AZ213" s="7">
        <v>0.0</v>
      </c>
      <c r="BA213" s="7">
        <v>0.0</v>
      </c>
      <c r="BB213" s="7">
        <v>0.0</v>
      </c>
      <c r="BC213" s="7">
        <v>0.0</v>
      </c>
      <c r="BD213" s="7">
        <v>0.0</v>
      </c>
      <c r="BE213" s="7">
        <v>0.0</v>
      </c>
      <c r="BF213" s="7">
        <v>0.0</v>
      </c>
      <c r="BG213" s="7">
        <v>0.0</v>
      </c>
      <c r="BH213" s="7">
        <v>0.0</v>
      </c>
      <c r="BI213" s="7">
        <v>0.0</v>
      </c>
      <c r="BJ213" s="8">
        <v>0.0</v>
      </c>
    </row>
    <row r="214" ht="15.75" customHeight="1">
      <c r="A214" s="67" t="s">
        <v>178</v>
      </c>
      <c r="B214" s="54">
        <v>0.0</v>
      </c>
      <c r="C214" s="54">
        <v>0.0</v>
      </c>
      <c r="D214" s="54">
        <v>0.0</v>
      </c>
      <c r="E214" s="54">
        <v>0.0</v>
      </c>
      <c r="F214" s="54">
        <v>0.0</v>
      </c>
      <c r="G214" s="54">
        <v>0.0</v>
      </c>
      <c r="H214" s="54">
        <v>0.0</v>
      </c>
      <c r="I214" s="54">
        <v>0.0</v>
      </c>
      <c r="J214" s="54">
        <v>0.0</v>
      </c>
      <c r="K214" s="54">
        <v>0.0</v>
      </c>
      <c r="L214" s="54">
        <v>0.0</v>
      </c>
      <c r="M214" s="54">
        <v>0.0</v>
      </c>
      <c r="N214" s="54">
        <v>0.0</v>
      </c>
      <c r="O214" s="54">
        <v>0.0</v>
      </c>
      <c r="P214" s="54">
        <v>0.0</v>
      </c>
      <c r="Q214" s="54">
        <v>0.0</v>
      </c>
      <c r="R214" s="54">
        <v>0.0</v>
      </c>
      <c r="S214" s="54">
        <v>0.0</v>
      </c>
      <c r="T214" s="54">
        <v>0.0</v>
      </c>
      <c r="U214" s="54">
        <v>0.0</v>
      </c>
      <c r="V214" s="54">
        <v>0.0</v>
      </c>
      <c r="W214" s="54">
        <v>0.0</v>
      </c>
      <c r="X214" s="54">
        <v>0.0</v>
      </c>
      <c r="Y214" s="54">
        <v>0.0</v>
      </c>
      <c r="Z214" s="54">
        <v>0.0</v>
      </c>
      <c r="AA214" s="54">
        <v>0.0</v>
      </c>
      <c r="AB214" s="54">
        <v>0.0</v>
      </c>
      <c r="AC214" s="55">
        <v>0.0</v>
      </c>
      <c r="AD214" s="54">
        <v>0.0</v>
      </c>
      <c r="AE214" s="54">
        <v>0.0</v>
      </c>
      <c r="AF214" s="54">
        <v>0.0</v>
      </c>
      <c r="AG214" s="54">
        <v>0.0</v>
      </c>
      <c r="AH214" s="54">
        <v>0.0</v>
      </c>
      <c r="AI214" s="54">
        <v>0.0</v>
      </c>
      <c r="AJ214" s="54">
        <v>0.0</v>
      </c>
      <c r="AK214" s="54">
        <v>0.0</v>
      </c>
      <c r="AL214" s="54">
        <v>0.0</v>
      </c>
      <c r="AM214" s="54">
        <v>0.0</v>
      </c>
      <c r="AN214" s="54">
        <v>0.0</v>
      </c>
      <c r="AO214" s="54">
        <v>0.0</v>
      </c>
      <c r="AP214" s="54">
        <v>0.0</v>
      </c>
      <c r="AQ214" s="54">
        <v>0.0</v>
      </c>
      <c r="AR214" s="54">
        <v>0.0</v>
      </c>
      <c r="AS214" s="54">
        <v>0.0</v>
      </c>
      <c r="AT214" s="54">
        <v>0.0</v>
      </c>
      <c r="AU214" s="54">
        <v>0.0</v>
      </c>
      <c r="AV214" s="54">
        <v>1.0</v>
      </c>
      <c r="AW214" s="54">
        <v>1.0</v>
      </c>
      <c r="AX214" s="7">
        <v>0.0</v>
      </c>
      <c r="AY214" s="7">
        <v>0.0</v>
      </c>
      <c r="AZ214" s="7">
        <v>0.0</v>
      </c>
      <c r="BA214" s="7">
        <v>0.0</v>
      </c>
      <c r="BB214" s="7">
        <v>0.0</v>
      </c>
      <c r="BC214" s="7">
        <v>0.0</v>
      </c>
      <c r="BD214" s="7">
        <v>0.0</v>
      </c>
      <c r="BE214" s="7">
        <v>0.0</v>
      </c>
      <c r="BF214" s="7">
        <v>0.0</v>
      </c>
      <c r="BG214" s="7">
        <v>0.0</v>
      </c>
      <c r="BH214" s="7">
        <v>0.0</v>
      </c>
      <c r="BI214" s="7">
        <v>0.0</v>
      </c>
      <c r="BJ214" s="8">
        <v>0.0</v>
      </c>
    </row>
    <row r="215" ht="15.75" customHeight="1">
      <c r="A215" s="68" t="s">
        <v>12</v>
      </c>
      <c r="B215" s="58">
        <v>0.0</v>
      </c>
      <c r="C215" s="58">
        <v>0.0</v>
      </c>
      <c r="D215" s="58">
        <v>0.0</v>
      </c>
      <c r="E215" s="58">
        <v>0.0</v>
      </c>
      <c r="F215" s="58">
        <v>0.0</v>
      </c>
      <c r="G215" s="58">
        <v>0.0</v>
      </c>
      <c r="H215" s="58">
        <v>0.0</v>
      </c>
      <c r="I215" s="58">
        <v>0.0</v>
      </c>
      <c r="J215" s="58">
        <v>0.0</v>
      </c>
      <c r="K215" s="58">
        <v>0.0</v>
      </c>
      <c r="L215" s="58">
        <v>0.0</v>
      </c>
      <c r="M215" s="58">
        <v>0.0</v>
      </c>
      <c r="N215" s="58">
        <v>0.0</v>
      </c>
      <c r="O215" s="58">
        <v>0.0</v>
      </c>
      <c r="P215" s="58">
        <v>0.0</v>
      </c>
      <c r="Q215" s="58">
        <v>0.0</v>
      </c>
      <c r="R215" s="58">
        <v>0.0</v>
      </c>
      <c r="S215" s="58">
        <v>0.0</v>
      </c>
      <c r="T215" s="58">
        <v>0.0</v>
      </c>
      <c r="U215" s="58">
        <v>0.0</v>
      </c>
      <c r="V215" s="58">
        <v>0.0</v>
      </c>
      <c r="W215" s="58">
        <v>0.0</v>
      </c>
      <c r="X215" s="58">
        <v>0.0</v>
      </c>
      <c r="Y215" s="58">
        <v>0.0</v>
      </c>
      <c r="Z215" s="58">
        <v>0.0</v>
      </c>
      <c r="AA215" s="58">
        <v>0.0</v>
      </c>
      <c r="AB215" s="58">
        <v>0.0</v>
      </c>
      <c r="AC215" s="59">
        <v>0.0</v>
      </c>
      <c r="AD215" s="58">
        <v>0.0</v>
      </c>
      <c r="AE215" s="58">
        <v>0.0</v>
      </c>
      <c r="AF215" s="58">
        <v>0.0</v>
      </c>
      <c r="AG215" s="58">
        <v>0.0</v>
      </c>
      <c r="AH215" s="58">
        <v>0.0</v>
      </c>
      <c r="AI215" s="58">
        <v>0.0</v>
      </c>
      <c r="AJ215" s="58">
        <v>0.0</v>
      </c>
      <c r="AK215" s="58">
        <v>0.0</v>
      </c>
      <c r="AL215" s="58">
        <v>0.0</v>
      </c>
      <c r="AM215" s="58">
        <v>0.0</v>
      </c>
      <c r="AN215" s="58">
        <v>0.0</v>
      </c>
      <c r="AO215" s="58">
        <v>0.0</v>
      </c>
      <c r="AP215" s="58">
        <v>0.0</v>
      </c>
      <c r="AQ215" s="58">
        <v>0.0</v>
      </c>
      <c r="AR215" s="58">
        <v>0.0</v>
      </c>
      <c r="AS215" s="58">
        <v>0.0</v>
      </c>
      <c r="AT215" s="58">
        <v>0.0</v>
      </c>
      <c r="AU215" s="58">
        <v>0.0</v>
      </c>
      <c r="AV215" s="58">
        <v>0.0</v>
      </c>
      <c r="AW215" s="58">
        <v>1.0</v>
      </c>
      <c r="AX215" s="58">
        <v>2.0</v>
      </c>
      <c r="AY215" s="45">
        <v>0.0</v>
      </c>
      <c r="AZ215" s="45">
        <v>0.0</v>
      </c>
      <c r="BA215" s="45">
        <v>0.0</v>
      </c>
      <c r="BB215" s="45">
        <v>0.0</v>
      </c>
      <c r="BC215" s="45">
        <v>0.0</v>
      </c>
      <c r="BD215" s="45">
        <v>0.0</v>
      </c>
      <c r="BE215" s="45">
        <v>0.0</v>
      </c>
      <c r="BF215" s="45">
        <v>0.0</v>
      </c>
      <c r="BG215" s="45">
        <v>0.0</v>
      </c>
      <c r="BH215" s="45">
        <v>0.0</v>
      </c>
      <c r="BI215" s="45">
        <v>0.0</v>
      </c>
      <c r="BJ215" s="46">
        <v>0.0</v>
      </c>
    </row>
    <row r="216" ht="15.75" customHeight="1">
      <c r="A216" s="78" t="s">
        <v>60</v>
      </c>
      <c r="B216" s="54">
        <v>0.0</v>
      </c>
      <c r="C216" s="54">
        <v>0.0</v>
      </c>
      <c r="D216" s="54">
        <v>0.0</v>
      </c>
      <c r="E216" s="54">
        <v>0.0</v>
      </c>
      <c r="F216" s="54">
        <v>0.0</v>
      </c>
      <c r="G216" s="54">
        <v>0.0</v>
      </c>
      <c r="H216" s="54">
        <v>0.0</v>
      </c>
      <c r="I216" s="54">
        <v>0.0</v>
      </c>
      <c r="J216" s="54">
        <v>0.0</v>
      </c>
      <c r="K216" s="54">
        <v>0.0</v>
      </c>
      <c r="L216" s="54">
        <v>0.0</v>
      </c>
      <c r="M216" s="54">
        <v>0.0</v>
      </c>
      <c r="N216" s="54">
        <v>0.0</v>
      </c>
      <c r="O216" s="54">
        <v>0.0</v>
      </c>
      <c r="P216" s="54">
        <v>0.0</v>
      </c>
      <c r="Q216" s="54">
        <v>0.0</v>
      </c>
      <c r="R216" s="54">
        <v>0.0</v>
      </c>
      <c r="S216" s="54">
        <v>0.0</v>
      </c>
      <c r="T216" s="54">
        <v>0.0</v>
      </c>
      <c r="U216" s="54">
        <v>0.0</v>
      </c>
      <c r="V216" s="54">
        <v>0.0</v>
      </c>
      <c r="W216" s="54">
        <v>0.0</v>
      </c>
      <c r="X216" s="54">
        <v>0.0</v>
      </c>
      <c r="Y216" s="54">
        <v>0.0</v>
      </c>
      <c r="Z216" s="54">
        <v>0.0</v>
      </c>
      <c r="AA216" s="54">
        <v>0.0</v>
      </c>
      <c r="AB216" s="54">
        <v>0.0</v>
      </c>
      <c r="AC216" s="55">
        <v>0.0</v>
      </c>
      <c r="AD216" s="54">
        <v>1.0</v>
      </c>
      <c r="AE216" s="54">
        <v>0.0</v>
      </c>
      <c r="AF216" s="54">
        <v>0.0</v>
      </c>
      <c r="AG216" s="54">
        <v>0.0</v>
      </c>
      <c r="AH216" s="54">
        <v>0.0</v>
      </c>
      <c r="AI216" s="54">
        <v>0.0</v>
      </c>
      <c r="AJ216" s="54">
        <v>0.0</v>
      </c>
      <c r="AK216" s="54">
        <v>1.0</v>
      </c>
      <c r="AL216" s="54">
        <v>1.0</v>
      </c>
      <c r="AM216" s="54">
        <v>0.0</v>
      </c>
      <c r="AN216" s="54">
        <v>0.0</v>
      </c>
      <c r="AO216" s="54">
        <v>1.0</v>
      </c>
      <c r="AP216" s="7">
        <v>0.0</v>
      </c>
      <c r="AQ216" s="7">
        <v>0.0</v>
      </c>
      <c r="AR216" s="7">
        <v>0.0</v>
      </c>
      <c r="AS216" s="7">
        <v>0.0</v>
      </c>
      <c r="AT216" s="7">
        <v>0.0</v>
      </c>
      <c r="AU216" s="7">
        <v>0.0</v>
      </c>
      <c r="AV216" s="7">
        <v>0.0</v>
      </c>
      <c r="AW216" s="7">
        <v>0.0</v>
      </c>
      <c r="AX216" s="7">
        <v>0.0</v>
      </c>
      <c r="AY216" s="7">
        <v>0.0</v>
      </c>
      <c r="AZ216" s="7">
        <v>0.0</v>
      </c>
      <c r="BA216" s="7">
        <v>0.0</v>
      </c>
      <c r="BB216" s="7">
        <v>0.0</v>
      </c>
      <c r="BC216" s="7">
        <v>0.0</v>
      </c>
      <c r="BD216" s="7">
        <v>0.0</v>
      </c>
      <c r="BE216" s="7">
        <v>0.0</v>
      </c>
      <c r="BF216" s="7">
        <v>0.0</v>
      </c>
      <c r="BG216" s="7">
        <v>0.0</v>
      </c>
      <c r="BH216" s="7">
        <v>0.0</v>
      </c>
      <c r="BI216" s="7">
        <v>0.0</v>
      </c>
      <c r="BJ216" s="8">
        <v>0.0</v>
      </c>
    </row>
    <row r="217" ht="15.75" customHeight="1">
      <c r="A217" s="79" t="s">
        <v>179</v>
      </c>
      <c r="B217" s="54">
        <v>0.0</v>
      </c>
      <c r="C217" s="54">
        <v>0.0</v>
      </c>
      <c r="D217" s="54">
        <v>0.0</v>
      </c>
      <c r="E217" s="54">
        <v>0.0</v>
      </c>
      <c r="F217" s="54">
        <v>0.0</v>
      </c>
      <c r="G217" s="54">
        <v>0.0</v>
      </c>
      <c r="H217" s="54">
        <v>0.0</v>
      </c>
      <c r="I217" s="54">
        <v>0.0</v>
      </c>
      <c r="J217" s="54">
        <v>0.0</v>
      </c>
      <c r="K217" s="54">
        <v>0.0</v>
      </c>
      <c r="L217" s="54">
        <v>0.0</v>
      </c>
      <c r="M217" s="54">
        <v>0.0</v>
      </c>
      <c r="N217" s="54">
        <v>0.0</v>
      </c>
      <c r="O217" s="54">
        <v>0.0</v>
      </c>
      <c r="P217" s="54">
        <v>0.0</v>
      </c>
      <c r="Q217" s="54">
        <v>0.0</v>
      </c>
      <c r="R217" s="54">
        <v>0.0</v>
      </c>
      <c r="S217" s="54">
        <v>0.0</v>
      </c>
      <c r="T217" s="54">
        <v>0.0</v>
      </c>
      <c r="U217" s="54">
        <v>0.0</v>
      </c>
      <c r="V217" s="54">
        <v>0.0</v>
      </c>
      <c r="W217" s="54">
        <v>0.0</v>
      </c>
      <c r="X217" s="54">
        <v>0.0</v>
      </c>
      <c r="Y217" s="54">
        <v>0.0</v>
      </c>
      <c r="Z217" s="54">
        <v>0.0</v>
      </c>
      <c r="AA217" s="54">
        <v>0.0</v>
      </c>
      <c r="AB217" s="54">
        <v>0.0</v>
      </c>
      <c r="AC217" s="55">
        <v>0.0</v>
      </c>
      <c r="AD217" s="54">
        <v>0.0</v>
      </c>
      <c r="AE217" s="54">
        <v>0.0</v>
      </c>
      <c r="AF217" s="54">
        <v>0.0</v>
      </c>
      <c r="AG217" s="54">
        <v>0.0</v>
      </c>
      <c r="AH217" s="54">
        <v>0.0</v>
      </c>
      <c r="AI217" s="54">
        <v>0.0</v>
      </c>
      <c r="AJ217" s="54">
        <v>0.0</v>
      </c>
      <c r="AK217" s="54">
        <v>0.0</v>
      </c>
      <c r="AL217" s="54">
        <v>0.0</v>
      </c>
      <c r="AM217" s="54">
        <v>0.0</v>
      </c>
      <c r="AN217" s="54">
        <v>0.0</v>
      </c>
      <c r="AO217" s="54">
        <v>0.0</v>
      </c>
      <c r="AP217" s="54">
        <v>0.0</v>
      </c>
      <c r="AQ217" s="54">
        <v>0.0</v>
      </c>
      <c r="AR217" s="54">
        <v>2.0</v>
      </c>
      <c r="AS217" s="7">
        <v>0.0</v>
      </c>
      <c r="AT217" s="7">
        <v>0.0</v>
      </c>
      <c r="AU217" s="7">
        <v>0.0</v>
      </c>
      <c r="AV217" s="7">
        <v>0.0</v>
      </c>
      <c r="AW217" s="7">
        <v>0.0</v>
      </c>
      <c r="AX217" s="7">
        <v>0.0</v>
      </c>
      <c r="AY217" s="7">
        <v>0.0</v>
      </c>
      <c r="AZ217" s="7">
        <v>0.0</v>
      </c>
      <c r="BA217" s="7">
        <v>0.0</v>
      </c>
      <c r="BB217" s="7">
        <v>0.0</v>
      </c>
      <c r="BC217" s="7">
        <v>0.0</v>
      </c>
      <c r="BD217" s="7">
        <v>0.0</v>
      </c>
      <c r="BE217" s="7">
        <v>0.0</v>
      </c>
      <c r="BF217" s="7">
        <v>0.0</v>
      </c>
      <c r="BG217" s="7">
        <v>0.0</v>
      </c>
      <c r="BH217" s="7">
        <v>0.0</v>
      </c>
      <c r="BI217" s="7">
        <v>0.0</v>
      </c>
      <c r="BJ217" s="8">
        <v>0.0</v>
      </c>
    </row>
    <row r="218" ht="15.75" customHeight="1">
      <c r="A218" s="79" t="s">
        <v>180</v>
      </c>
      <c r="B218" s="54">
        <v>0.0</v>
      </c>
      <c r="C218" s="54">
        <v>0.0</v>
      </c>
      <c r="D218" s="54">
        <v>0.0</v>
      </c>
      <c r="E218" s="54">
        <v>0.0</v>
      </c>
      <c r="F218" s="54">
        <v>0.0</v>
      </c>
      <c r="G218" s="54">
        <v>0.0</v>
      </c>
      <c r="H218" s="54">
        <v>0.0</v>
      </c>
      <c r="I218" s="54">
        <v>0.0</v>
      </c>
      <c r="J218" s="54">
        <v>0.0</v>
      </c>
      <c r="K218" s="54">
        <v>0.0</v>
      </c>
      <c r="L218" s="54">
        <v>0.0</v>
      </c>
      <c r="M218" s="54">
        <v>0.0</v>
      </c>
      <c r="N218" s="54">
        <v>0.0</v>
      </c>
      <c r="O218" s="54">
        <v>0.0</v>
      </c>
      <c r="P218" s="54">
        <v>0.0</v>
      </c>
      <c r="Q218" s="54">
        <v>0.0</v>
      </c>
      <c r="R218" s="54">
        <v>0.0</v>
      </c>
      <c r="S218" s="54">
        <v>0.0</v>
      </c>
      <c r="T218" s="54">
        <v>0.0</v>
      </c>
      <c r="U218" s="54">
        <v>0.0</v>
      </c>
      <c r="V218" s="54">
        <v>0.0</v>
      </c>
      <c r="W218" s="54">
        <v>0.0</v>
      </c>
      <c r="X218" s="54">
        <v>0.0</v>
      </c>
      <c r="Y218" s="54">
        <v>0.0</v>
      </c>
      <c r="Z218" s="54">
        <v>0.0</v>
      </c>
      <c r="AA218" s="54">
        <v>0.0</v>
      </c>
      <c r="AB218" s="54">
        <v>0.0</v>
      </c>
      <c r="AC218" s="55">
        <v>0.0</v>
      </c>
      <c r="AD218" s="54">
        <v>0.0</v>
      </c>
      <c r="AE218" s="54">
        <v>0.0</v>
      </c>
      <c r="AF218" s="54">
        <v>0.0</v>
      </c>
      <c r="AG218" s="54">
        <v>0.0</v>
      </c>
      <c r="AH218" s="54">
        <v>0.0</v>
      </c>
      <c r="AI218" s="54">
        <v>0.0</v>
      </c>
      <c r="AJ218" s="54">
        <v>0.0</v>
      </c>
      <c r="AK218" s="54">
        <v>0.0</v>
      </c>
      <c r="AL218" s="54">
        <v>0.0</v>
      </c>
      <c r="AM218" s="54">
        <v>0.0</v>
      </c>
      <c r="AN218" s="54">
        <v>0.0</v>
      </c>
      <c r="AO218" s="54">
        <v>0.0</v>
      </c>
      <c r="AP218" s="54">
        <v>0.0</v>
      </c>
      <c r="AQ218" s="54">
        <v>0.0</v>
      </c>
      <c r="AR218" s="54">
        <v>0.0</v>
      </c>
      <c r="AS218" s="54">
        <v>0.0</v>
      </c>
      <c r="AT218" s="54">
        <v>5.0</v>
      </c>
      <c r="AU218" s="54">
        <v>3.0</v>
      </c>
      <c r="AV218" s="7">
        <v>0.0</v>
      </c>
      <c r="AW218" s="7">
        <v>0.0</v>
      </c>
      <c r="AX218" s="7">
        <v>0.0</v>
      </c>
      <c r="AY218" s="7">
        <v>0.0</v>
      </c>
      <c r="AZ218" s="7">
        <v>0.0</v>
      </c>
      <c r="BA218" s="7">
        <v>0.0</v>
      </c>
      <c r="BB218" s="7">
        <v>0.0</v>
      </c>
      <c r="BC218" s="7">
        <v>0.0</v>
      </c>
      <c r="BD218" s="7">
        <v>0.0</v>
      </c>
      <c r="BE218" s="7">
        <v>0.0</v>
      </c>
      <c r="BF218" s="7">
        <v>0.0</v>
      </c>
      <c r="BG218" s="7">
        <v>0.0</v>
      </c>
      <c r="BH218" s="7">
        <v>0.0</v>
      </c>
      <c r="BI218" s="7">
        <v>0.0</v>
      </c>
      <c r="BJ218" s="8">
        <v>0.0</v>
      </c>
    </row>
    <row r="219" ht="15.75" customHeight="1">
      <c r="A219" s="79" t="s">
        <v>181</v>
      </c>
      <c r="B219" s="54">
        <v>0.0</v>
      </c>
      <c r="C219" s="54">
        <v>0.0</v>
      </c>
      <c r="D219" s="54">
        <v>0.0</v>
      </c>
      <c r="E219" s="54">
        <v>0.0</v>
      </c>
      <c r="F219" s="54">
        <v>0.0</v>
      </c>
      <c r="G219" s="54">
        <v>0.0</v>
      </c>
      <c r="H219" s="54">
        <v>0.0</v>
      </c>
      <c r="I219" s="54">
        <v>0.0</v>
      </c>
      <c r="J219" s="54">
        <v>0.0</v>
      </c>
      <c r="K219" s="54">
        <v>0.0</v>
      </c>
      <c r="L219" s="54">
        <v>0.0</v>
      </c>
      <c r="M219" s="54">
        <v>0.0</v>
      </c>
      <c r="N219" s="54">
        <v>0.0</v>
      </c>
      <c r="O219" s="54">
        <v>0.0</v>
      </c>
      <c r="P219" s="54">
        <v>0.0</v>
      </c>
      <c r="Q219" s="54">
        <v>0.0</v>
      </c>
      <c r="R219" s="54">
        <v>0.0</v>
      </c>
      <c r="S219" s="54">
        <v>0.0</v>
      </c>
      <c r="T219" s="54">
        <v>0.0</v>
      </c>
      <c r="U219" s="54">
        <v>0.0</v>
      </c>
      <c r="V219" s="54">
        <v>0.0</v>
      </c>
      <c r="W219" s="54">
        <v>0.0</v>
      </c>
      <c r="X219" s="54">
        <v>0.0</v>
      </c>
      <c r="Y219" s="54">
        <v>0.0</v>
      </c>
      <c r="Z219" s="54">
        <v>0.0</v>
      </c>
      <c r="AA219" s="54">
        <v>0.0</v>
      </c>
      <c r="AB219" s="54">
        <v>0.0</v>
      </c>
      <c r="AC219" s="55">
        <v>0.0</v>
      </c>
      <c r="AD219" s="54">
        <v>0.0</v>
      </c>
      <c r="AE219" s="54">
        <v>0.0</v>
      </c>
      <c r="AF219" s="54">
        <v>0.0</v>
      </c>
      <c r="AG219" s="54">
        <v>0.0</v>
      </c>
      <c r="AH219" s="54">
        <v>0.0</v>
      </c>
      <c r="AI219" s="54">
        <v>0.0</v>
      </c>
      <c r="AJ219" s="54">
        <v>0.0</v>
      </c>
      <c r="AK219" s="54">
        <v>0.0</v>
      </c>
      <c r="AL219" s="54">
        <v>0.0</v>
      </c>
      <c r="AM219" s="54">
        <v>0.0</v>
      </c>
      <c r="AN219" s="54">
        <v>0.0</v>
      </c>
      <c r="AO219" s="54">
        <v>0.0</v>
      </c>
      <c r="AP219" s="54">
        <v>0.0</v>
      </c>
      <c r="AQ219" s="54">
        <v>0.0</v>
      </c>
      <c r="AR219" s="54">
        <v>0.0</v>
      </c>
      <c r="AS219" s="54">
        <v>0.0</v>
      </c>
      <c r="AT219" s="54">
        <v>0.0</v>
      </c>
      <c r="AU219" s="54">
        <v>3.0</v>
      </c>
      <c r="AV219" s="54">
        <v>1.0</v>
      </c>
      <c r="AW219" s="7">
        <v>0.0</v>
      </c>
      <c r="AX219" s="7">
        <v>0.0</v>
      </c>
      <c r="AY219" s="7">
        <v>0.0</v>
      </c>
      <c r="AZ219" s="7">
        <v>0.0</v>
      </c>
      <c r="BA219" s="7">
        <v>0.0</v>
      </c>
      <c r="BB219" s="7">
        <v>0.0</v>
      </c>
      <c r="BC219" s="7">
        <v>0.0</v>
      </c>
      <c r="BD219" s="7">
        <v>0.0</v>
      </c>
      <c r="BE219" s="7">
        <v>0.0</v>
      </c>
      <c r="BF219" s="7">
        <v>0.0</v>
      </c>
      <c r="BG219" s="7">
        <v>0.0</v>
      </c>
      <c r="BH219" s="7">
        <v>0.0</v>
      </c>
      <c r="BI219" s="7">
        <v>0.0</v>
      </c>
      <c r="BJ219" s="8">
        <v>0.0</v>
      </c>
    </row>
    <row r="220" ht="15.75" customHeight="1">
      <c r="A220" s="80" t="s">
        <v>182</v>
      </c>
      <c r="B220" s="58">
        <v>0.0</v>
      </c>
      <c r="C220" s="58">
        <v>0.0</v>
      </c>
      <c r="D220" s="58">
        <v>0.0</v>
      </c>
      <c r="E220" s="58">
        <v>0.0</v>
      </c>
      <c r="F220" s="58">
        <v>0.0</v>
      </c>
      <c r="G220" s="58">
        <v>0.0</v>
      </c>
      <c r="H220" s="58">
        <v>0.0</v>
      </c>
      <c r="I220" s="58">
        <v>0.0</v>
      </c>
      <c r="J220" s="58">
        <v>0.0</v>
      </c>
      <c r="K220" s="58">
        <v>0.0</v>
      </c>
      <c r="L220" s="58">
        <v>0.0</v>
      </c>
      <c r="M220" s="58">
        <v>0.0</v>
      </c>
      <c r="N220" s="58">
        <v>0.0</v>
      </c>
      <c r="O220" s="58">
        <v>0.0</v>
      </c>
      <c r="P220" s="58">
        <v>0.0</v>
      </c>
      <c r="Q220" s="58">
        <v>0.0</v>
      </c>
      <c r="R220" s="58">
        <v>0.0</v>
      </c>
      <c r="S220" s="58">
        <v>0.0</v>
      </c>
      <c r="T220" s="58">
        <v>0.0</v>
      </c>
      <c r="U220" s="58">
        <v>0.0</v>
      </c>
      <c r="V220" s="58">
        <v>0.0</v>
      </c>
      <c r="W220" s="58">
        <v>0.0</v>
      </c>
      <c r="X220" s="58">
        <v>0.0</v>
      </c>
      <c r="Y220" s="58">
        <v>0.0</v>
      </c>
      <c r="Z220" s="58">
        <v>0.0</v>
      </c>
      <c r="AA220" s="58">
        <v>0.0</v>
      </c>
      <c r="AB220" s="58">
        <v>0.0</v>
      </c>
      <c r="AC220" s="59">
        <v>0.0</v>
      </c>
      <c r="AD220" s="58">
        <v>0.0</v>
      </c>
      <c r="AE220" s="58">
        <v>0.0</v>
      </c>
      <c r="AF220" s="58">
        <v>0.0</v>
      </c>
      <c r="AG220" s="58">
        <v>0.0</v>
      </c>
      <c r="AH220" s="58">
        <v>0.0</v>
      </c>
      <c r="AI220" s="58">
        <v>0.0</v>
      </c>
      <c r="AJ220" s="58">
        <v>0.0</v>
      </c>
      <c r="AK220" s="58">
        <v>0.0</v>
      </c>
      <c r="AL220" s="58">
        <v>0.0</v>
      </c>
      <c r="AM220" s="58">
        <v>0.0</v>
      </c>
      <c r="AN220" s="58">
        <v>0.0</v>
      </c>
      <c r="AO220" s="58">
        <v>0.0</v>
      </c>
      <c r="AP220" s="58">
        <v>0.0</v>
      </c>
      <c r="AQ220" s="58">
        <v>0.0</v>
      </c>
      <c r="AR220" s="58">
        <v>0.0</v>
      </c>
      <c r="AS220" s="58">
        <v>0.0</v>
      </c>
      <c r="AT220" s="58">
        <v>0.0</v>
      </c>
      <c r="AU220" s="58">
        <v>0.0</v>
      </c>
      <c r="AV220" s="58">
        <v>1.0</v>
      </c>
      <c r="AW220" s="58">
        <v>0.0</v>
      </c>
      <c r="AX220" s="58">
        <v>0.0</v>
      </c>
      <c r="AY220" s="58">
        <v>1.0</v>
      </c>
      <c r="AZ220" s="58">
        <v>1.0</v>
      </c>
      <c r="BA220" s="58">
        <v>1.0</v>
      </c>
      <c r="BB220" s="45">
        <v>0.0</v>
      </c>
      <c r="BC220" s="45">
        <v>0.0</v>
      </c>
      <c r="BD220" s="45">
        <v>0.0</v>
      </c>
      <c r="BE220" s="45">
        <v>0.0</v>
      </c>
      <c r="BF220" s="45">
        <v>0.0</v>
      </c>
      <c r="BG220" s="45">
        <v>0.0</v>
      </c>
      <c r="BH220" s="45">
        <v>0.0</v>
      </c>
      <c r="BI220" s="45">
        <v>0.0</v>
      </c>
      <c r="BJ220" s="46">
        <v>0.0</v>
      </c>
    </row>
    <row r="221" ht="15.75" customHeight="1">
      <c r="A221" s="84" t="s">
        <v>60</v>
      </c>
      <c r="B221" s="54">
        <v>0.0</v>
      </c>
      <c r="C221" s="54">
        <v>0.0</v>
      </c>
      <c r="D221" s="54">
        <v>0.0</v>
      </c>
      <c r="E221" s="54">
        <v>0.0</v>
      </c>
      <c r="F221" s="54">
        <v>0.0</v>
      </c>
      <c r="G221" s="54">
        <v>0.0</v>
      </c>
      <c r="H221" s="54">
        <v>0.0</v>
      </c>
      <c r="I221" s="54">
        <v>0.0</v>
      </c>
      <c r="J221" s="54">
        <v>0.0</v>
      </c>
      <c r="K221" s="54">
        <v>0.0</v>
      </c>
      <c r="L221" s="54">
        <v>0.0</v>
      </c>
      <c r="M221" s="54">
        <v>0.0</v>
      </c>
      <c r="N221" s="54">
        <v>0.0</v>
      </c>
      <c r="O221" s="54">
        <v>0.0</v>
      </c>
      <c r="P221" s="54">
        <v>0.0</v>
      </c>
      <c r="Q221" s="54">
        <v>0.0</v>
      </c>
      <c r="R221" s="54">
        <v>0.0</v>
      </c>
      <c r="S221" s="54">
        <v>0.0</v>
      </c>
      <c r="T221" s="54">
        <v>0.0</v>
      </c>
      <c r="U221" s="54">
        <v>0.0</v>
      </c>
      <c r="V221" s="54">
        <v>0.0</v>
      </c>
      <c r="W221" s="54">
        <v>0.0</v>
      </c>
      <c r="X221" s="54">
        <v>0.0</v>
      </c>
      <c r="Y221" s="54">
        <v>0.0</v>
      </c>
      <c r="Z221" s="54">
        <v>0.0</v>
      </c>
      <c r="AA221" s="54">
        <v>0.0</v>
      </c>
      <c r="AB221" s="54">
        <v>0.0</v>
      </c>
      <c r="AC221" s="55">
        <v>0.0</v>
      </c>
      <c r="AD221" s="54">
        <v>0.0</v>
      </c>
      <c r="AE221" s="54">
        <v>0.0</v>
      </c>
      <c r="AF221" s="54">
        <v>0.0</v>
      </c>
      <c r="AG221" s="54">
        <v>0.0</v>
      </c>
      <c r="AH221" s="54">
        <v>0.0</v>
      </c>
      <c r="AI221" s="54">
        <v>0.0</v>
      </c>
      <c r="AJ221" s="54">
        <v>0.0</v>
      </c>
      <c r="AK221" s="54">
        <v>0.0</v>
      </c>
      <c r="AL221" s="54">
        <v>0.0</v>
      </c>
      <c r="AM221" s="54">
        <v>2.0</v>
      </c>
      <c r="AN221" s="54">
        <v>1.0</v>
      </c>
      <c r="AO221" s="54">
        <v>3.0</v>
      </c>
      <c r="AP221" s="7">
        <v>0.0</v>
      </c>
      <c r="AQ221" s="7">
        <v>0.0</v>
      </c>
      <c r="AR221" s="7">
        <v>0.0</v>
      </c>
      <c r="AS221" s="7">
        <v>0.0</v>
      </c>
      <c r="AT221" s="7">
        <v>0.0</v>
      </c>
      <c r="AU221" s="7">
        <v>0.0</v>
      </c>
      <c r="AV221" s="7">
        <v>0.0</v>
      </c>
      <c r="AW221" s="7">
        <v>0.0</v>
      </c>
      <c r="AX221" s="7">
        <v>0.0</v>
      </c>
      <c r="AY221" s="7">
        <v>0.0</v>
      </c>
      <c r="AZ221" s="7">
        <v>0.0</v>
      </c>
      <c r="BA221" s="7">
        <v>0.0</v>
      </c>
      <c r="BB221" s="7">
        <v>0.0</v>
      </c>
      <c r="BC221" s="7">
        <v>0.0</v>
      </c>
      <c r="BD221" s="7">
        <v>0.0</v>
      </c>
      <c r="BE221" s="7">
        <v>0.0</v>
      </c>
      <c r="BF221" s="7">
        <v>0.0</v>
      </c>
      <c r="BG221" s="7">
        <v>0.0</v>
      </c>
      <c r="BH221" s="7">
        <v>0.0</v>
      </c>
      <c r="BI221" s="7">
        <v>0.0</v>
      </c>
      <c r="BJ221" s="8">
        <v>0.0</v>
      </c>
    </row>
    <row r="222" ht="15.75" customHeight="1">
      <c r="A222" s="85" t="s">
        <v>183</v>
      </c>
      <c r="B222" s="54">
        <v>0.0</v>
      </c>
      <c r="C222" s="54">
        <v>0.0</v>
      </c>
      <c r="D222" s="54">
        <v>0.0</v>
      </c>
      <c r="E222" s="54">
        <v>0.0</v>
      </c>
      <c r="F222" s="54">
        <v>0.0</v>
      </c>
      <c r="G222" s="54">
        <v>0.0</v>
      </c>
      <c r="H222" s="54">
        <v>0.0</v>
      </c>
      <c r="I222" s="54">
        <v>0.0</v>
      </c>
      <c r="J222" s="54">
        <v>0.0</v>
      </c>
      <c r="K222" s="54">
        <v>0.0</v>
      </c>
      <c r="L222" s="54">
        <v>0.0</v>
      </c>
      <c r="M222" s="54">
        <v>0.0</v>
      </c>
      <c r="N222" s="54">
        <v>0.0</v>
      </c>
      <c r="O222" s="54">
        <v>0.0</v>
      </c>
      <c r="P222" s="54">
        <v>0.0</v>
      </c>
      <c r="Q222" s="54">
        <v>0.0</v>
      </c>
      <c r="R222" s="54">
        <v>0.0</v>
      </c>
      <c r="S222" s="54">
        <v>0.0</v>
      </c>
      <c r="T222" s="54">
        <v>0.0</v>
      </c>
      <c r="U222" s="54">
        <v>0.0</v>
      </c>
      <c r="V222" s="54">
        <v>0.0</v>
      </c>
      <c r="W222" s="54">
        <v>0.0</v>
      </c>
      <c r="X222" s="54">
        <v>0.0</v>
      </c>
      <c r="Y222" s="54">
        <v>0.0</v>
      </c>
      <c r="Z222" s="54">
        <v>0.0</v>
      </c>
      <c r="AA222" s="54">
        <v>0.0</v>
      </c>
      <c r="AB222" s="54">
        <v>0.0</v>
      </c>
      <c r="AC222" s="55">
        <v>0.0</v>
      </c>
      <c r="AD222" s="54">
        <v>0.0</v>
      </c>
      <c r="AE222" s="54">
        <v>0.0</v>
      </c>
      <c r="AF222" s="54">
        <v>0.0</v>
      </c>
      <c r="AG222" s="54">
        <v>0.0</v>
      </c>
      <c r="AH222" s="54">
        <v>0.0</v>
      </c>
      <c r="AI222" s="54">
        <v>0.0</v>
      </c>
      <c r="AJ222" s="54">
        <v>0.0</v>
      </c>
      <c r="AK222" s="54">
        <v>0.0</v>
      </c>
      <c r="AL222" s="54">
        <v>0.0</v>
      </c>
      <c r="AM222" s="54">
        <v>0.0</v>
      </c>
      <c r="AN222" s="54">
        <v>0.0</v>
      </c>
      <c r="AO222" s="54">
        <v>0.0</v>
      </c>
      <c r="AP222" s="54">
        <v>0.0</v>
      </c>
      <c r="AQ222" s="54">
        <v>0.0</v>
      </c>
      <c r="AR222" s="54">
        <v>1.0</v>
      </c>
      <c r="AS222" s="54">
        <v>0.0</v>
      </c>
      <c r="AT222" s="54">
        <v>1.0</v>
      </c>
      <c r="AU222" s="54">
        <v>1.0</v>
      </c>
      <c r="AV222" s="54">
        <v>2.0</v>
      </c>
      <c r="AW222" s="54">
        <v>1.0</v>
      </c>
      <c r="AX222" s="54">
        <v>0.0</v>
      </c>
      <c r="AY222" s="54">
        <v>0.0</v>
      </c>
      <c r="AZ222" s="54">
        <v>0.0</v>
      </c>
      <c r="BA222" s="54">
        <v>0.0</v>
      </c>
      <c r="BB222" s="54">
        <v>0.0</v>
      </c>
      <c r="BC222" s="54">
        <v>0.0</v>
      </c>
      <c r="BD222" s="54">
        <v>0.0</v>
      </c>
      <c r="BE222" s="54">
        <v>0.0</v>
      </c>
      <c r="BF222" s="54">
        <v>0.0</v>
      </c>
      <c r="BG222" s="54">
        <v>0.0</v>
      </c>
      <c r="BH222" s="54">
        <v>1.0</v>
      </c>
      <c r="BI222" s="54">
        <v>1.0</v>
      </c>
      <c r="BJ222" s="8">
        <v>0.0</v>
      </c>
    </row>
    <row r="223" ht="15.75" customHeight="1">
      <c r="A223" s="85" t="s">
        <v>99</v>
      </c>
      <c r="B223" s="54">
        <v>0.0</v>
      </c>
      <c r="C223" s="54">
        <v>0.0</v>
      </c>
      <c r="D223" s="54">
        <v>0.0</v>
      </c>
      <c r="E223" s="54">
        <v>0.0</v>
      </c>
      <c r="F223" s="54">
        <v>0.0</v>
      </c>
      <c r="G223" s="54">
        <v>0.0</v>
      </c>
      <c r="H223" s="54">
        <v>0.0</v>
      </c>
      <c r="I223" s="54">
        <v>0.0</v>
      </c>
      <c r="J223" s="54">
        <v>0.0</v>
      </c>
      <c r="K223" s="54">
        <v>0.0</v>
      </c>
      <c r="L223" s="54">
        <v>0.0</v>
      </c>
      <c r="M223" s="54">
        <v>0.0</v>
      </c>
      <c r="N223" s="54">
        <v>0.0</v>
      </c>
      <c r="O223" s="54">
        <v>0.0</v>
      </c>
      <c r="P223" s="54">
        <v>0.0</v>
      </c>
      <c r="Q223" s="54">
        <v>0.0</v>
      </c>
      <c r="R223" s="54">
        <v>0.0</v>
      </c>
      <c r="S223" s="54">
        <v>0.0</v>
      </c>
      <c r="T223" s="54">
        <v>0.0</v>
      </c>
      <c r="U223" s="54">
        <v>0.0</v>
      </c>
      <c r="V223" s="54">
        <v>0.0</v>
      </c>
      <c r="W223" s="54">
        <v>0.0</v>
      </c>
      <c r="X223" s="54">
        <v>0.0</v>
      </c>
      <c r="Y223" s="54">
        <v>0.0</v>
      </c>
      <c r="Z223" s="54">
        <v>0.0</v>
      </c>
      <c r="AA223" s="54">
        <v>0.0</v>
      </c>
      <c r="AB223" s="54">
        <v>0.0</v>
      </c>
      <c r="AC223" s="55">
        <v>0.0</v>
      </c>
      <c r="AD223" s="54">
        <v>0.0</v>
      </c>
      <c r="AE223" s="54">
        <v>0.0</v>
      </c>
      <c r="AF223" s="54">
        <v>0.0</v>
      </c>
      <c r="AG223" s="54">
        <v>0.0</v>
      </c>
      <c r="AH223" s="54">
        <v>0.0</v>
      </c>
      <c r="AI223" s="54">
        <v>0.0</v>
      </c>
      <c r="AJ223" s="54">
        <v>0.0</v>
      </c>
      <c r="AK223" s="54">
        <v>0.0</v>
      </c>
      <c r="AL223" s="54">
        <v>0.0</v>
      </c>
      <c r="AM223" s="54">
        <v>0.0</v>
      </c>
      <c r="AN223" s="54">
        <v>0.0</v>
      </c>
      <c r="AO223" s="54">
        <v>0.0</v>
      </c>
      <c r="AP223" s="54">
        <v>0.0</v>
      </c>
      <c r="AQ223" s="54">
        <v>0.0</v>
      </c>
      <c r="AR223" s="54">
        <v>0.0</v>
      </c>
      <c r="AS223" s="54">
        <v>0.0</v>
      </c>
      <c r="AT223" s="54">
        <v>1.0</v>
      </c>
      <c r="AU223" s="54">
        <v>1.0</v>
      </c>
      <c r="AV223" s="54">
        <v>1.0</v>
      </c>
      <c r="AW223" s="54">
        <v>0.0</v>
      </c>
      <c r="AX223" s="54">
        <v>0.0</v>
      </c>
      <c r="AY223" s="54">
        <v>0.0</v>
      </c>
      <c r="AZ223" s="54">
        <v>0.0</v>
      </c>
      <c r="BA223" s="54">
        <v>1.0</v>
      </c>
      <c r="BB223" s="54">
        <v>4.0</v>
      </c>
      <c r="BC223" s="7">
        <v>0.0</v>
      </c>
      <c r="BD223" s="7">
        <v>0.0</v>
      </c>
      <c r="BE223" s="7">
        <v>0.0</v>
      </c>
      <c r="BF223" s="7">
        <v>0.0</v>
      </c>
      <c r="BG223" s="7">
        <v>0.0</v>
      </c>
      <c r="BH223" s="7">
        <v>0.0</v>
      </c>
      <c r="BI223" s="7">
        <v>0.0</v>
      </c>
      <c r="BJ223" s="8">
        <v>0.0</v>
      </c>
    </row>
    <row r="224" ht="15.75" customHeight="1">
      <c r="A224" s="85" t="s">
        <v>184</v>
      </c>
      <c r="B224" s="54">
        <v>0.0</v>
      </c>
      <c r="C224" s="54">
        <v>0.0</v>
      </c>
      <c r="D224" s="54">
        <v>0.0</v>
      </c>
      <c r="E224" s="54">
        <v>0.0</v>
      </c>
      <c r="F224" s="54">
        <v>0.0</v>
      </c>
      <c r="G224" s="54">
        <v>0.0</v>
      </c>
      <c r="H224" s="54">
        <v>0.0</v>
      </c>
      <c r="I224" s="54">
        <v>0.0</v>
      </c>
      <c r="J224" s="54">
        <v>0.0</v>
      </c>
      <c r="K224" s="54">
        <v>0.0</v>
      </c>
      <c r="L224" s="54">
        <v>0.0</v>
      </c>
      <c r="M224" s="54">
        <v>0.0</v>
      </c>
      <c r="N224" s="54">
        <v>0.0</v>
      </c>
      <c r="O224" s="54">
        <v>0.0</v>
      </c>
      <c r="P224" s="54">
        <v>0.0</v>
      </c>
      <c r="Q224" s="54">
        <v>0.0</v>
      </c>
      <c r="R224" s="54">
        <v>0.0</v>
      </c>
      <c r="S224" s="54">
        <v>0.0</v>
      </c>
      <c r="T224" s="54">
        <v>0.0</v>
      </c>
      <c r="U224" s="54">
        <v>0.0</v>
      </c>
      <c r="V224" s="54">
        <v>0.0</v>
      </c>
      <c r="W224" s="54">
        <v>0.0</v>
      </c>
      <c r="X224" s="54">
        <v>0.0</v>
      </c>
      <c r="Y224" s="54">
        <v>0.0</v>
      </c>
      <c r="Z224" s="54">
        <v>0.0</v>
      </c>
      <c r="AA224" s="54">
        <v>0.0</v>
      </c>
      <c r="AB224" s="54">
        <v>0.0</v>
      </c>
      <c r="AC224" s="55">
        <v>0.0</v>
      </c>
      <c r="AD224" s="54">
        <v>0.0</v>
      </c>
      <c r="AE224" s="54">
        <v>0.0</v>
      </c>
      <c r="AF224" s="54">
        <v>0.0</v>
      </c>
      <c r="AG224" s="54">
        <v>0.0</v>
      </c>
      <c r="AH224" s="54">
        <v>0.0</v>
      </c>
      <c r="AI224" s="54">
        <v>0.0</v>
      </c>
      <c r="AJ224" s="54">
        <v>0.0</v>
      </c>
      <c r="AK224" s="54">
        <v>0.0</v>
      </c>
      <c r="AL224" s="54">
        <v>0.0</v>
      </c>
      <c r="AM224" s="54">
        <v>0.0</v>
      </c>
      <c r="AN224" s="54">
        <v>0.0</v>
      </c>
      <c r="AO224" s="54">
        <v>0.0</v>
      </c>
      <c r="AP224" s="54">
        <v>0.0</v>
      </c>
      <c r="AQ224" s="54">
        <v>0.0</v>
      </c>
      <c r="AR224" s="54">
        <v>0.0</v>
      </c>
      <c r="AS224" s="54">
        <v>0.0</v>
      </c>
      <c r="AT224" s="54">
        <v>0.0</v>
      </c>
      <c r="AU224" s="54">
        <v>1.0</v>
      </c>
      <c r="AV224" s="54">
        <v>2.0</v>
      </c>
      <c r="AW224" s="54">
        <v>2.0</v>
      </c>
      <c r="AX224" s="7">
        <v>0.0</v>
      </c>
      <c r="AY224" s="7">
        <v>0.0</v>
      </c>
      <c r="AZ224" s="7">
        <v>0.0</v>
      </c>
      <c r="BA224" s="7">
        <v>0.0</v>
      </c>
      <c r="BB224" s="7">
        <v>0.0</v>
      </c>
      <c r="BC224" s="7">
        <v>0.0</v>
      </c>
      <c r="BD224" s="7">
        <v>0.0</v>
      </c>
      <c r="BE224" s="7">
        <v>0.0</v>
      </c>
      <c r="BF224" s="7">
        <v>0.0</v>
      </c>
      <c r="BG224" s="7">
        <v>0.0</v>
      </c>
      <c r="BH224" s="7">
        <v>0.0</v>
      </c>
      <c r="BI224" s="7">
        <v>0.0</v>
      </c>
      <c r="BJ224" s="8">
        <v>0.0</v>
      </c>
    </row>
    <row r="225" ht="15.75" customHeight="1">
      <c r="A225" s="86" t="s">
        <v>185</v>
      </c>
      <c r="B225" s="58">
        <v>0.0</v>
      </c>
      <c r="C225" s="58">
        <v>0.0</v>
      </c>
      <c r="D225" s="58">
        <v>0.0</v>
      </c>
      <c r="E225" s="58">
        <v>0.0</v>
      </c>
      <c r="F225" s="58">
        <v>0.0</v>
      </c>
      <c r="G225" s="58">
        <v>0.0</v>
      </c>
      <c r="H225" s="58">
        <v>0.0</v>
      </c>
      <c r="I225" s="58">
        <v>0.0</v>
      </c>
      <c r="J225" s="58">
        <v>0.0</v>
      </c>
      <c r="K225" s="58">
        <v>0.0</v>
      </c>
      <c r="L225" s="58">
        <v>0.0</v>
      </c>
      <c r="M225" s="58">
        <v>0.0</v>
      </c>
      <c r="N225" s="58">
        <v>0.0</v>
      </c>
      <c r="O225" s="58">
        <v>0.0</v>
      </c>
      <c r="P225" s="58">
        <v>0.0</v>
      </c>
      <c r="Q225" s="58">
        <v>0.0</v>
      </c>
      <c r="R225" s="58">
        <v>0.0</v>
      </c>
      <c r="S225" s="58">
        <v>0.0</v>
      </c>
      <c r="T225" s="58">
        <v>0.0</v>
      </c>
      <c r="U225" s="58">
        <v>0.0</v>
      </c>
      <c r="V225" s="58">
        <v>0.0</v>
      </c>
      <c r="W225" s="58">
        <v>0.0</v>
      </c>
      <c r="X225" s="58">
        <v>0.0</v>
      </c>
      <c r="Y225" s="58">
        <v>0.0</v>
      </c>
      <c r="Z225" s="58">
        <v>0.0</v>
      </c>
      <c r="AA225" s="58">
        <v>0.0</v>
      </c>
      <c r="AB225" s="58">
        <v>0.0</v>
      </c>
      <c r="AC225" s="59">
        <v>0.0</v>
      </c>
      <c r="AD225" s="58">
        <v>0.0</v>
      </c>
      <c r="AE225" s="58">
        <v>0.0</v>
      </c>
      <c r="AF225" s="58">
        <v>0.0</v>
      </c>
      <c r="AG225" s="58">
        <v>0.0</v>
      </c>
      <c r="AH225" s="58">
        <v>0.0</v>
      </c>
      <c r="AI225" s="58">
        <v>0.0</v>
      </c>
      <c r="AJ225" s="58">
        <v>0.0</v>
      </c>
      <c r="AK225" s="58">
        <v>0.0</v>
      </c>
      <c r="AL225" s="58">
        <v>0.0</v>
      </c>
      <c r="AM225" s="58">
        <v>0.0</v>
      </c>
      <c r="AN225" s="58">
        <v>0.0</v>
      </c>
      <c r="AO225" s="58">
        <v>0.0</v>
      </c>
      <c r="AP225" s="58">
        <v>0.0</v>
      </c>
      <c r="AQ225" s="58">
        <v>0.0</v>
      </c>
      <c r="AR225" s="58">
        <v>0.0</v>
      </c>
      <c r="AS225" s="58">
        <v>0.0</v>
      </c>
      <c r="AT225" s="58">
        <v>0.0</v>
      </c>
      <c r="AU225" s="58">
        <v>0.0</v>
      </c>
      <c r="AV225" s="58">
        <v>0.0</v>
      </c>
      <c r="AW225" s="58">
        <v>0.0</v>
      </c>
      <c r="AX225" s="58">
        <v>0.0</v>
      </c>
      <c r="AY225" s="58">
        <v>0.0</v>
      </c>
      <c r="AZ225" s="58">
        <v>0.0</v>
      </c>
      <c r="BA225" s="58">
        <v>0.0</v>
      </c>
      <c r="BB225" s="58">
        <v>1.0</v>
      </c>
      <c r="BC225" s="58">
        <v>1.0</v>
      </c>
      <c r="BD225" s="58">
        <v>0.0</v>
      </c>
      <c r="BE225" s="58">
        <v>0.0</v>
      </c>
      <c r="BF225" s="58">
        <v>0.0</v>
      </c>
      <c r="BG225" s="58">
        <v>0.0</v>
      </c>
      <c r="BH225" s="58">
        <v>0.0</v>
      </c>
      <c r="BI225" s="58">
        <v>0.0</v>
      </c>
      <c r="BJ225" s="59">
        <v>2.0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">
    <mergeCell ref="A4:BJ4"/>
    <mergeCell ref="B5:BJ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4">
      <c r="B4" s="7" t="str">
        <f t="shared" ref="B4:AC4" si="1">#REF!-60</f>
        <v>#REF!</v>
      </c>
      <c r="C4" s="7" t="str">
        <f t="shared" si="1"/>
        <v>#REF!</v>
      </c>
      <c r="D4" s="7" t="str">
        <f t="shared" si="1"/>
        <v>#REF!</v>
      </c>
      <c r="E4" s="7" t="str">
        <f t="shared" si="1"/>
        <v>#REF!</v>
      </c>
      <c r="F4" s="7" t="str">
        <f t="shared" si="1"/>
        <v>#REF!</v>
      </c>
      <c r="G4" s="7" t="str">
        <f t="shared" si="1"/>
        <v>#REF!</v>
      </c>
      <c r="H4" s="7" t="str">
        <f t="shared" si="1"/>
        <v>#REF!</v>
      </c>
      <c r="I4" s="7" t="str">
        <f t="shared" si="1"/>
        <v>#REF!</v>
      </c>
      <c r="J4" s="7" t="str">
        <f t="shared" si="1"/>
        <v>#REF!</v>
      </c>
      <c r="K4" s="7" t="str">
        <f t="shared" si="1"/>
        <v>#REF!</v>
      </c>
      <c r="L4" s="7" t="str">
        <f t="shared" si="1"/>
        <v>#REF!</v>
      </c>
      <c r="M4" s="7" t="str">
        <f t="shared" si="1"/>
        <v>#REF!</v>
      </c>
      <c r="N4" s="7" t="str">
        <f t="shared" si="1"/>
        <v>#REF!</v>
      </c>
      <c r="O4" s="7" t="str">
        <f t="shared" si="1"/>
        <v>#REF!</v>
      </c>
      <c r="P4" s="7" t="str">
        <f t="shared" si="1"/>
        <v>#REF!</v>
      </c>
      <c r="Q4" s="7" t="str">
        <f t="shared" si="1"/>
        <v>#REF!</v>
      </c>
      <c r="R4" s="7" t="str">
        <f t="shared" si="1"/>
        <v>#REF!</v>
      </c>
      <c r="S4" s="7" t="str">
        <f t="shared" si="1"/>
        <v>#REF!</v>
      </c>
      <c r="T4" s="7" t="str">
        <f t="shared" si="1"/>
        <v>#REF!</v>
      </c>
      <c r="U4" s="7" t="str">
        <f t="shared" si="1"/>
        <v>#REF!</v>
      </c>
      <c r="V4" s="7" t="str">
        <f t="shared" si="1"/>
        <v>#REF!</v>
      </c>
      <c r="W4" s="7" t="str">
        <f t="shared" si="1"/>
        <v>#REF!</v>
      </c>
      <c r="X4" s="7" t="str">
        <f t="shared" si="1"/>
        <v>#REF!</v>
      </c>
      <c r="Y4" s="7" t="str">
        <f t="shared" si="1"/>
        <v>#REF!</v>
      </c>
      <c r="Z4" s="7" t="str">
        <f t="shared" si="1"/>
        <v>#REF!</v>
      </c>
      <c r="AA4" s="7" t="str">
        <f t="shared" si="1"/>
        <v>#REF!</v>
      </c>
      <c r="AB4" s="7" t="str">
        <f t="shared" si="1"/>
        <v>#REF!</v>
      </c>
      <c r="AC4" s="7" t="str">
        <f t="shared" si="1"/>
        <v>#REF!</v>
      </c>
    </row>
    <row r="5">
      <c r="B5" s="2">
        <v>45795.0</v>
      </c>
      <c r="C5" s="2">
        <f t="shared" ref="C5:AC5" si="2">B5+1</f>
        <v>45796</v>
      </c>
      <c r="D5" s="2">
        <f t="shared" si="2"/>
        <v>45797</v>
      </c>
      <c r="E5" s="2">
        <f t="shared" si="2"/>
        <v>45798</v>
      </c>
      <c r="F5" s="2">
        <f t="shared" si="2"/>
        <v>45799</v>
      </c>
      <c r="G5" s="2">
        <f t="shared" si="2"/>
        <v>45800</v>
      </c>
      <c r="H5" s="2">
        <f t="shared" si="2"/>
        <v>45801</v>
      </c>
      <c r="I5" s="2">
        <f t="shared" si="2"/>
        <v>45802</v>
      </c>
      <c r="J5" s="2">
        <f t="shared" si="2"/>
        <v>45803</v>
      </c>
      <c r="K5" s="2">
        <f t="shared" si="2"/>
        <v>45804</v>
      </c>
      <c r="L5" s="2">
        <f t="shared" si="2"/>
        <v>45805</v>
      </c>
      <c r="M5" s="2">
        <f t="shared" si="2"/>
        <v>45806</v>
      </c>
      <c r="N5" s="2">
        <f t="shared" si="2"/>
        <v>45807</v>
      </c>
      <c r="O5" s="2">
        <f t="shared" si="2"/>
        <v>45808</v>
      </c>
      <c r="P5" s="2">
        <f t="shared" si="2"/>
        <v>45809</v>
      </c>
      <c r="Q5" s="2">
        <f t="shared" si="2"/>
        <v>45810</v>
      </c>
      <c r="R5" s="2">
        <f t="shared" si="2"/>
        <v>45811</v>
      </c>
      <c r="S5" s="2">
        <f t="shared" si="2"/>
        <v>45812</v>
      </c>
      <c r="T5" s="2">
        <f t="shared" si="2"/>
        <v>45813</v>
      </c>
      <c r="U5" s="2">
        <f t="shared" si="2"/>
        <v>45814</v>
      </c>
      <c r="V5" s="2">
        <f t="shared" si="2"/>
        <v>45815</v>
      </c>
      <c r="W5" s="2">
        <f t="shared" si="2"/>
        <v>45816</v>
      </c>
      <c r="X5" s="2">
        <f t="shared" si="2"/>
        <v>45817</v>
      </c>
      <c r="Y5" s="2">
        <f t="shared" si="2"/>
        <v>45818</v>
      </c>
      <c r="Z5" s="2">
        <f t="shared" si="2"/>
        <v>45819</v>
      </c>
      <c r="AA5" s="2">
        <f t="shared" si="2"/>
        <v>45820</v>
      </c>
      <c r="AB5" s="2">
        <f t="shared" si="2"/>
        <v>45821</v>
      </c>
      <c r="AC5" s="2">
        <f t="shared" si="2"/>
        <v>45822</v>
      </c>
    </row>
    <row r="9">
      <c r="A9" s="97">
        <v>2.0</v>
      </c>
      <c r="B9" s="98">
        <f>SUM(A9:A68)</f>
        <v>107</v>
      </c>
      <c r="E9" s="98">
        <v>1.0</v>
      </c>
    </row>
    <row r="10">
      <c r="A10" s="97">
        <v>2.0</v>
      </c>
      <c r="E10" s="98">
        <v>2.0</v>
      </c>
    </row>
    <row r="11">
      <c r="A11" s="97">
        <v>3.0</v>
      </c>
      <c r="E11" s="98">
        <v>3.0</v>
      </c>
    </row>
    <row r="12">
      <c r="A12" s="97">
        <v>2.0</v>
      </c>
      <c r="E12" s="98">
        <v>4.0</v>
      </c>
    </row>
    <row r="13">
      <c r="A13" s="97">
        <v>1.0</v>
      </c>
      <c r="E13" s="98">
        <v>5.0</v>
      </c>
    </row>
    <row r="14">
      <c r="A14" s="97">
        <v>1.0</v>
      </c>
      <c r="E14" s="98">
        <v>6.0</v>
      </c>
    </row>
    <row r="15">
      <c r="A15" s="99">
        <v>2.0</v>
      </c>
      <c r="E15" s="98">
        <v>7.0</v>
      </c>
    </row>
    <row r="16">
      <c r="A16" s="99">
        <v>1.0</v>
      </c>
      <c r="E16" s="98">
        <v>8.0</v>
      </c>
    </row>
    <row r="17">
      <c r="A17" s="99">
        <v>4.0</v>
      </c>
      <c r="E17" s="98">
        <v>9.0</v>
      </c>
    </row>
    <row r="18">
      <c r="A18" s="99">
        <v>1.0</v>
      </c>
      <c r="E18" s="98">
        <v>10.0</v>
      </c>
    </row>
    <row r="19">
      <c r="A19" s="99">
        <v>1.0</v>
      </c>
      <c r="E19" s="98">
        <v>11.0</v>
      </c>
    </row>
    <row r="20">
      <c r="A20" s="99">
        <v>1.0</v>
      </c>
      <c r="E20" s="98">
        <v>12.0</v>
      </c>
    </row>
    <row r="21">
      <c r="A21" s="100">
        <v>3.0</v>
      </c>
      <c r="E21" s="98">
        <v>13.0</v>
      </c>
    </row>
    <row r="22">
      <c r="A22" s="100">
        <v>3.0</v>
      </c>
      <c r="E22" s="98">
        <v>14.0</v>
      </c>
    </row>
    <row r="23">
      <c r="A23" s="100">
        <v>4.0</v>
      </c>
      <c r="E23" s="98">
        <v>15.0</v>
      </c>
    </row>
    <row r="24">
      <c r="A24" s="100">
        <v>2.0</v>
      </c>
      <c r="E24" s="98">
        <v>16.0</v>
      </c>
    </row>
    <row r="25">
      <c r="A25" s="100">
        <v>1.0</v>
      </c>
      <c r="E25" s="98">
        <v>17.0</v>
      </c>
    </row>
    <row r="26">
      <c r="A26" s="101">
        <v>2.0</v>
      </c>
      <c r="E26" s="98">
        <v>18.0</v>
      </c>
    </row>
    <row r="27">
      <c r="A27" s="101">
        <v>1.0</v>
      </c>
      <c r="E27" s="98">
        <v>19.0</v>
      </c>
    </row>
    <row r="28">
      <c r="A28" s="101">
        <v>2.0</v>
      </c>
      <c r="E28" s="98">
        <v>20.0</v>
      </c>
    </row>
    <row r="29">
      <c r="A29" s="101">
        <v>3.0</v>
      </c>
      <c r="E29" s="98">
        <v>21.0</v>
      </c>
    </row>
    <row r="30">
      <c r="A30" s="101">
        <v>2.0</v>
      </c>
      <c r="E30" s="98">
        <v>22.0</v>
      </c>
    </row>
    <row r="31">
      <c r="A31" s="101">
        <v>2.0</v>
      </c>
      <c r="E31" s="98">
        <v>23.0</v>
      </c>
    </row>
    <row r="32">
      <c r="A32" s="101">
        <v>2.0</v>
      </c>
      <c r="E32" s="98">
        <v>24.0</v>
      </c>
    </row>
    <row r="33">
      <c r="A33" s="101">
        <v>1.0</v>
      </c>
      <c r="E33" s="98">
        <v>25.0</v>
      </c>
    </row>
    <row r="34">
      <c r="A34" s="102">
        <v>1.0</v>
      </c>
      <c r="E34" s="98">
        <v>26.0</v>
      </c>
    </row>
    <row r="35">
      <c r="A35" s="102">
        <v>2.0</v>
      </c>
      <c r="E35" s="98">
        <v>27.0</v>
      </c>
    </row>
    <row r="36">
      <c r="A36" s="102">
        <v>1.0</v>
      </c>
      <c r="E36" s="98">
        <v>28.0</v>
      </c>
    </row>
    <row r="37">
      <c r="A37" s="102">
        <v>2.0</v>
      </c>
      <c r="E37" s="98">
        <v>29.0</v>
      </c>
    </row>
    <row r="38">
      <c r="A38" s="103">
        <v>1.0</v>
      </c>
      <c r="E38" s="98">
        <v>30.0</v>
      </c>
    </row>
    <row r="39">
      <c r="A39" s="103">
        <v>3.0</v>
      </c>
      <c r="E39" s="98">
        <v>31.0</v>
      </c>
    </row>
    <row r="40">
      <c r="A40" s="103">
        <v>3.0</v>
      </c>
      <c r="E40" s="98">
        <v>32.0</v>
      </c>
    </row>
    <row r="41">
      <c r="A41" s="103">
        <v>1.0</v>
      </c>
      <c r="E41" s="98">
        <v>33.0</v>
      </c>
    </row>
    <row r="42">
      <c r="A42" s="103">
        <v>1.0</v>
      </c>
      <c r="E42" s="98">
        <v>34.0</v>
      </c>
    </row>
    <row r="43">
      <c r="A43" s="103">
        <v>1.0</v>
      </c>
      <c r="E43" s="98">
        <v>35.0</v>
      </c>
    </row>
    <row r="44">
      <c r="A44" s="103">
        <v>1.0</v>
      </c>
      <c r="E44" s="98">
        <v>36.0</v>
      </c>
    </row>
    <row r="45">
      <c r="A45" s="104">
        <v>1.0</v>
      </c>
      <c r="E45" s="98">
        <v>37.0</v>
      </c>
    </row>
    <row r="46">
      <c r="A46" s="104">
        <v>1.0</v>
      </c>
      <c r="E46" s="98">
        <v>38.0</v>
      </c>
    </row>
    <row r="47">
      <c r="A47" s="104">
        <v>4.0</v>
      </c>
      <c r="E47" s="98">
        <v>39.0</v>
      </c>
    </row>
    <row r="48">
      <c r="A48" s="104">
        <v>3.0</v>
      </c>
      <c r="E48" s="98">
        <v>40.0</v>
      </c>
    </row>
    <row r="49">
      <c r="A49" s="104">
        <v>1.0</v>
      </c>
      <c r="E49" s="98">
        <v>41.0</v>
      </c>
    </row>
    <row r="50">
      <c r="A50" s="104">
        <v>2.0</v>
      </c>
      <c r="E50" s="98">
        <v>42.0</v>
      </c>
    </row>
    <row r="51">
      <c r="A51" s="104">
        <v>1.0</v>
      </c>
      <c r="E51" s="98">
        <v>43.0</v>
      </c>
    </row>
    <row r="52">
      <c r="A52" s="104">
        <v>1.0</v>
      </c>
      <c r="E52" s="98">
        <v>44.0</v>
      </c>
    </row>
    <row r="53">
      <c r="A53" s="104">
        <v>1.0</v>
      </c>
      <c r="E53" s="98">
        <v>45.0</v>
      </c>
    </row>
    <row r="54">
      <c r="A54" s="105">
        <v>2.0</v>
      </c>
      <c r="E54" s="98">
        <v>46.0</v>
      </c>
    </row>
    <row r="55">
      <c r="A55" s="105">
        <v>3.0</v>
      </c>
      <c r="E55" s="98">
        <v>47.0</v>
      </c>
    </row>
    <row r="56">
      <c r="A56" s="105">
        <v>2.0</v>
      </c>
      <c r="E56" s="98">
        <v>48.0</v>
      </c>
    </row>
    <row r="57">
      <c r="A57" s="97">
        <v>2.0</v>
      </c>
      <c r="E57" s="98">
        <v>49.0</v>
      </c>
    </row>
    <row r="58">
      <c r="A58" s="97">
        <v>2.0</v>
      </c>
      <c r="E58" s="98">
        <v>50.0</v>
      </c>
    </row>
    <row r="59">
      <c r="A59" s="97">
        <v>1.0</v>
      </c>
      <c r="E59" s="98">
        <v>51.0</v>
      </c>
    </row>
    <row r="60">
      <c r="A60" s="99">
        <v>3.0</v>
      </c>
      <c r="E60" s="98">
        <v>52.0</v>
      </c>
    </row>
    <row r="61">
      <c r="A61" s="99">
        <v>1.0</v>
      </c>
      <c r="E61" s="98">
        <v>53.0</v>
      </c>
    </row>
    <row r="62">
      <c r="A62" s="99">
        <v>1.0</v>
      </c>
      <c r="E62" s="98">
        <v>54.0</v>
      </c>
    </row>
    <row r="63">
      <c r="A63" s="99">
        <v>2.0</v>
      </c>
      <c r="E63" s="98">
        <v>55.0</v>
      </c>
    </row>
    <row r="64">
      <c r="A64" s="99">
        <v>2.0</v>
      </c>
      <c r="E64" s="98">
        <v>56.0</v>
      </c>
    </row>
    <row r="65">
      <c r="A65" s="106">
        <v>1.0</v>
      </c>
      <c r="E65" s="98">
        <v>57.0</v>
      </c>
    </row>
    <row r="66">
      <c r="A66" s="106">
        <v>2.0</v>
      </c>
      <c r="E66" s="98">
        <v>58.0</v>
      </c>
    </row>
    <row r="67">
      <c r="A67" s="106">
        <v>1.0</v>
      </c>
      <c r="E67" s="98">
        <v>59.0</v>
      </c>
    </row>
    <row r="68">
      <c r="A68" s="106">
        <v>1.0</v>
      </c>
      <c r="E68" s="98">
        <v>60.0</v>
      </c>
    </row>
    <row r="69">
      <c r="A69" s="107">
        <v>107.0</v>
      </c>
      <c r="B69" s="98">
        <f>SUM(A69:A218)</f>
        <v>918</v>
      </c>
      <c r="E69" s="98">
        <v>61.0</v>
      </c>
    </row>
    <row r="70">
      <c r="A70" s="97">
        <v>8.0</v>
      </c>
      <c r="E70" s="98">
        <v>62.0</v>
      </c>
    </row>
    <row r="71">
      <c r="A71" s="97">
        <v>5.0</v>
      </c>
      <c r="E71" s="98">
        <v>63.0</v>
      </c>
    </row>
    <row r="72">
      <c r="A72" s="97">
        <v>6.0</v>
      </c>
      <c r="E72" s="98">
        <v>64.0</v>
      </c>
    </row>
    <row r="73">
      <c r="A73" s="97">
        <v>2.0</v>
      </c>
      <c r="E73" s="98">
        <v>65.0</v>
      </c>
    </row>
    <row r="74">
      <c r="A74" s="97">
        <v>2.0</v>
      </c>
      <c r="E74" s="98">
        <v>66.0</v>
      </c>
    </row>
    <row r="75">
      <c r="A75" s="99">
        <v>8.0</v>
      </c>
      <c r="E75" s="98">
        <v>67.0</v>
      </c>
    </row>
    <row r="76">
      <c r="A76" s="99">
        <v>3.0</v>
      </c>
      <c r="E76" s="98">
        <v>68.0</v>
      </c>
    </row>
    <row r="77">
      <c r="A77" s="99">
        <v>5.0</v>
      </c>
      <c r="E77" s="98">
        <v>69.0</v>
      </c>
    </row>
    <row r="78">
      <c r="A78" s="99">
        <v>2.0</v>
      </c>
      <c r="E78" s="98">
        <v>70.0</v>
      </c>
    </row>
    <row r="79">
      <c r="A79" s="99">
        <v>5.0</v>
      </c>
      <c r="E79" s="98">
        <v>71.0</v>
      </c>
    </row>
    <row r="80">
      <c r="A80" s="100">
        <v>8.0</v>
      </c>
      <c r="E80" s="98">
        <v>72.0</v>
      </c>
    </row>
    <row r="81">
      <c r="A81" s="100">
        <v>6.0</v>
      </c>
      <c r="E81" s="98">
        <v>73.0</v>
      </c>
    </row>
    <row r="82">
      <c r="A82" s="100">
        <v>3.0</v>
      </c>
      <c r="E82" s="98">
        <v>74.0</v>
      </c>
    </row>
    <row r="83">
      <c r="A83" s="100">
        <v>4.0</v>
      </c>
      <c r="E83" s="98">
        <v>75.0</v>
      </c>
    </row>
    <row r="84">
      <c r="A84" s="100">
        <v>2.0</v>
      </c>
      <c r="E84" s="98">
        <v>76.0</v>
      </c>
    </row>
    <row r="85">
      <c r="A85" s="101">
        <v>7.0</v>
      </c>
      <c r="E85" s="98">
        <v>77.0</v>
      </c>
    </row>
    <row r="86">
      <c r="A86" s="101">
        <v>5.0</v>
      </c>
      <c r="E86" s="98">
        <v>78.0</v>
      </c>
    </row>
    <row r="87">
      <c r="A87" s="101">
        <v>5.0</v>
      </c>
      <c r="E87" s="98">
        <v>79.0</v>
      </c>
    </row>
    <row r="88">
      <c r="A88" s="101">
        <v>6.0</v>
      </c>
      <c r="E88" s="98">
        <v>80.0</v>
      </c>
    </row>
    <row r="89">
      <c r="A89" s="101">
        <v>3.0</v>
      </c>
      <c r="E89" s="98">
        <v>81.0</v>
      </c>
    </row>
    <row r="90">
      <c r="A90" s="102">
        <v>12.0</v>
      </c>
      <c r="E90" s="98">
        <v>82.0</v>
      </c>
    </row>
    <row r="91">
      <c r="A91" s="102">
        <v>6.0</v>
      </c>
      <c r="E91" s="98">
        <v>83.0</v>
      </c>
    </row>
    <row r="92">
      <c r="A92" s="102">
        <v>5.0</v>
      </c>
      <c r="E92" s="98">
        <v>84.0</v>
      </c>
    </row>
    <row r="93">
      <c r="A93" s="102">
        <v>3.0</v>
      </c>
      <c r="E93" s="98">
        <v>85.0</v>
      </c>
    </row>
    <row r="94">
      <c r="A94" s="102">
        <v>5.0</v>
      </c>
      <c r="E94" s="98">
        <v>86.0</v>
      </c>
    </row>
    <row r="95">
      <c r="A95" s="103">
        <v>6.0</v>
      </c>
      <c r="E95" s="98">
        <v>87.0</v>
      </c>
    </row>
    <row r="96">
      <c r="A96" s="103">
        <v>7.0</v>
      </c>
      <c r="E96" s="98">
        <v>88.0</v>
      </c>
    </row>
    <row r="97">
      <c r="A97" s="103">
        <v>5.0</v>
      </c>
      <c r="E97" s="98">
        <v>89.0</v>
      </c>
    </row>
    <row r="98">
      <c r="A98" s="103">
        <v>5.0</v>
      </c>
      <c r="E98" s="98">
        <v>90.0</v>
      </c>
    </row>
    <row r="99">
      <c r="A99" s="103">
        <v>5.0</v>
      </c>
      <c r="E99" s="98">
        <v>91.0</v>
      </c>
    </row>
    <row r="100">
      <c r="A100" s="104">
        <v>12.0</v>
      </c>
      <c r="E100" s="98">
        <v>92.0</v>
      </c>
    </row>
    <row r="101">
      <c r="A101" s="104">
        <v>9.0</v>
      </c>
      <c r="E101" s="98">
        <v>93.0</v>
      </c>
    </row>
    <row r="102">
      <c r="A102" s="104">
        <v>9.0</v>
      </c>
      <c r="E102" s="98">
        <v>94.0</v>
      </c>
    </row>
    <row r="103">
      <c r="A103" s="104">
        <v>5.0</v>
      </c>
      <c r="E103" s="98">
        <v>95.0</v>
      </c>
    </row>
    <row r="104">
      <c r="A104" s="104">
        <v>3.0</v>
      </c>
      <c r="E104" s="98">
        <v>96.0</v>
      </c>
    </row>
    <row r="105">
      <c r="A105" s="104">
        <v>5.0</v>
      </c>
      <c r="E105" s="98">
        <v>97.0</v>
      </c>
    </row>
    <row r="106">
      <c r="A106" s="105">
        <v>7.0</v>
      </c>
      <c r="E106" s="98">
        <v>98.0</v>
      </c>
    </row>
    <row r="107">
      <c r="A107" s="105">
        <v>5.0</v>
      </c>
      <c r="E107" s="98">
        <v>99.0</v>
      </c>
    </row>
    <row r="108">
      <c r="A108" s="105">
        <v>8.0</v>
      </c>
      <c r="E108" s="98">
        <v>100.0</v>
      </c>
    </row>
    <row r="109">
      <c r="A109" s="105">
        <v>4.0</v>
      </c>
      <c r="E109" s="98">
        <v>101.0</v>
      </c>
    </row>
    <row r="110">
      <c r="A110" s="105">
        <v>5.0</v>
      </c>
      <c r="E110" s="98">
        <v>102.0</v>
      </c>
    </row>
    <row r="111">
      <c r="A111" s="97">
        <v>4.0</v>
      </c>
      <c r="E111" s="98">
        <v>103.0</v>
      </c>
    </row>
    <row r="112">
      <c r="A112" s="97">
        <v>3.0</v>
      </c>
      <c r="E112" s="98">
        <v>104.0</v>
      </c>
    </row>
    <row r="113">
      <c r="A113" s="97">
        <v>11.0</v>
      </c>
      <c r="E113" s="98">
        <v>105.0</v>
      </c>
    </row>
    <row r="114">
      <c r="A114" s="97">
        <v>9.0</v>
      </c>
      <c r="E114" s="98">
        <v>106.0</v>
      </c>
    </row>
    <row r="115">
      <c r="A115" s="97">
        <v>6.0</v>
      </c>
      <c r="E115" s="98">
        <v>107.0</v>
      </c>
    </row>
    <row r="116">
      <c r="A116" s="99">
        <v>11.0</v>
      </c>
      <c r="E116" s="98">
        <v>108.0</v>
      </c>
    </row>
    <row r="117">
      <c r="A117" s="99">
        <v>6.0</v>
      </c>
      <c r="E117" s="98">
        <v>109.0</v>
      </c>
    </row>
    <row r="118">
      <c r="A118" s="99">
        <v>9.0</v>
      </c>
      <c r="E118" s="98">
        <v>110.0</v>
      </c>
    </row>
    <row r="119">
      <c r="A119" s="99">
        <v>5.0</v>
      </c>
      <c r="E119" s="98">
        <v>111.0</v>
      </c>
    </row>
    <row r="120">
      <c r="A120" s="99">
        <v>4.0</v>
      </c>
      <c r="E120" s="98">
        <v>112.0</v>
      </c>
    </row>
    <row r="121">
      <c r="A121" s="99">
        <v>3.0</v>
      </c>
      <c r="E121" s="98">
        <v>113.0</v>
      </c>
    </row>
    <row r="122">
      <c r="A122" s="106">
        <v>7.0</v>
      </c>
      <c r="E122" s="98">
        <v>114.0</v>
      </c>
    </row>
    <row r="123">
      <c r="A123" s="106">
        <v>4.0</v>
      </c>
      <c r="E123" s="98">
        <v>115.0</v>
      </c>
    </row>
    <row r="124">
      <c r="A124" s="106">
        <v>5.0</v>
      </c>
      <c r="E124" s="98">
        <v>116.0</v>
      </c>
    </row>
    <row r="125">
      <c r="A125" s="106">
        <v>1.0</v>
      </c>
      <c r="E125" s="98">
        <v>117.0</v>
      </c>
    </row>
    <row r="126">
      <c r="A126" s="106">
        <v>3.0</v>
      </c>
      <c r="E126" s="98">
        <v>118.0</v>
      </c>
    </row>
    <row r="127">
      <c r="A127" s="106">
        <v>4.0</v>
      </c>
      <c r="E127" s="98">
        <v>119.0</v>
      </c>
    </row>
    <row r="128">
      <c r="A128" s="102">
        <v>6.0</v>
      </c>
      <c r="E128" s="98">
        <v>120.0</v>
      </c>
    </row>
    <row r="129">
      <c r="A129" s="102">
        <v>5.0</v>
      </c>
      <c r="E129" s="98">
        <v>121.0</v>
      </c>
    </row>
    <row r="130">
      <c r="A130" s="102">
        <v>9.0</v>
      </c>
      <c r="E130" s="98">
        <v>122.0</v>
      </c>
    </row>
    <row r="131">
      <c r="A131" s="102">
        <v>4.0</v>
      </c>
      <c r="E131" s="98">
        <v>123.0</v>
      </c>
    </row>
    <row r="132">
      <c r="A132" s="102">
        <v>8.0</v>
      </c>
      <c r="E132" s="98">
        <v>124.0</v>
      </c>
    </row>
    <row r="133">
      <c r="A133" s="102">
        <v>4.0</v>
      </c>
      <c r="E133" s="98">
        <v>125.0</v>
      </c>
    </row>
    <row r="134">
      <c r="A134" s="108">
        <v>7.0</v>
      </c>
      <c r="E134" s="98">
        <v>126.0</v>
      </c>
    </row>
    <row r="135">
      <c r="A135" s="108">
        <v>4.0</v>
      </c>
      <c r="E135" s="98">
        <v>127.0</v>
      </c>
    </row>
    <row r="136">
      <c r="A136" s="108">
        <v>6.0</v>
      </c>
      <c r="E136" s="98">
        <v>128.0</v>
      </c>
    </row>
    <row r="137">
      <c r="A137" s="108">
        <v>4.0</v>
      </c>
      <c r="E137" s="98">
        <v>129.0</v>
      </c>
    </row>
    <row r="138">
      <c r="A138" s="108">
        <v>3.0</v>
      </c>
      <c r="E138" s="98">
        <v>130.0</v>
      </c>
    </row>
    <row r="139">
      <c r="A139" s="108">
        <v>3.0</v>
      </c>
      <c r="E139" s="98">
        <v>131.0</v>
      </c>
    </row>
    <row r="140">
      <c r="A140" s="105">
        <v>11.0</v>
      </c>
      <c r="E140" s="98">
        <v>132.0</v>
      </c>
    </row>
    <row r="141">
      <c r="A141" s="105">
        <v>5.0</v>
      </c>
      <c r="E141" s="98">
        <v>133.0</v>
      </c>
    </row>
    <row r="142">
      <c r="A142" s="105">
        <v>6.0</v>
      </c>
      <c r="E142" s="98">
        <v>134.0</v>
      </c>
    </row>
    <row r="143">
      <c r="A143" s="105">
        <v>3.0</v>
      </c>
      <c r="E143" s="98">
        <v>135.0</v>
      </c>
    </row>
    <row r="144">
      <c r="A144" s="105">
        <v>4.0</v>
      </c>
      <c r="E144" s="98">
        <v>136.0</v>
      </c>
    </row>
    <row r="145">
      <c r="A145" s="97">
        <v>8.0</v>
      </c>
      <c r="E145" s="98">
        <v>137.0</v>
      </c>
    </row>
    <row r="146">
      <c r="A146" s="97">
        <v>6.0</v>
      </c>
      <c r="E146" s="98">
        <v>138.0</v>
      </c>
    </row>
    <row r="147">
      <c r="A147" s="97">
        <v>4.0</v>
      </c>
      <c r="E147" s="98">
        <v>139.0</v>
      </c>
    </row>
    <row r="148">
      <c r="A148" s="97">
        <v>5.0</v>
      </c>
      <c r="E148" s="98">
        <v>140.0</v>
      </c>
    </row>
    <row r="149">
      <c r="A149" s="97">
        <v>3.0</v>
      </c>
      <c r="E149" s="98">
        <v>141.0</v>
      </c>
    </row>
    <row r="150">
      <c r="A150" s="100">
        <v>14.0</v>
      </c>
      <c r="E150" s="98">
        <v>142.0</v>
      </c>
    </row>
    <row r="151">
      <c r="A151" s="100">
        <v>6.0</v>
      </c>
      <c r="E151" s="98">
        <v>143.0</v>
      </c>
    </row>
    <row r="152">
      <c r="A152" s="100">
        <v>8.0</v>
      </c>
      <c r="E152" s="98">
        <v>144.0</v>
      </c>
    </row>
    <row r="153">
      <c r="A153" s="100">
        <v>3.0</v>
      </c>
      <c r="E153" s="98">
        <v>145.0</v>
      </c>
    </row>
    <row r="154">
      <c r="A154" s="100">
        <v>3.0</v>
      </c>
      <c r="E154" s="98">
        <v>146.0</v>
      </c>
    </row>
    <row r="155">
      <c r="A155" s="100">
        <v>5.0</v>
      </c>
      <c r="E155" s="98">
        <v>147.0</v>
      </c>
    </row>
    <row r="156">
      <c r="A156" s="101">
        <v>8.0</v>
      </c>
      <c r="E156" s="98">
        <v>148.0</v>
      </c>
    </row>
    <row r="157">
      <c r="A157" s="101">
        <v>6.0</v>
      </c>
      <c r="E157" s="98">
        <v>149.0</v>
      </c>
    </row>
    <row r="158">
      <c r="A158" s="101">
        <v>4.0</v>
      </c>
      <c r="E158" s="98">
        <v>150.0</v>
      </c>
    </row>
    <row r="159">
      <c r="A159" s="101">
        <v>4.0</v>
      </c>
      <c r="E159" s="98">
        <v>151.0</v>
      </c>
    </row>
    <row r="160">
      <c r="A160" s="101">
        <v>1.0</v>
      </c>
      <c r="E160" s="98">
        <v>152.0</v>
      </c>
    </row>
    <row r="161">
      <c r="A161" s="102">
        <v>8.0</v>
      </c>
      <c r="E161" s="98">
        <v>153.0</v>
      </c>
    </row>
    <row r="162">
      <c r="A162" s="102">
        <v>5.0</v>
      </c>
      <c r="E162" s="98">
        <v>154.0</v>
      </c>
    </row>
    <row r="163">
      <c r="A163" s="102">
        <v>7.0</v>
      </c>
      <c r="E163" s="98">
        <v>155.0</v>
      </c>
    </row>
    <row r="164">
      <c r="A164" s="102">
        <v>5.0</v>
      </c>
      <c r="E164" s="98">
        <v>156.0</v>
      </c>
    </row>
    <row r="165">
      <c r="A165" s="102">
        <v>1.0</v>
      </c>
      <c r="E165" s="98">
        <v>157.0</v>
      </c>
    </row>
    <row r="166">
      <c r="A166" s="103">
        <v>12.0</v>
      </c>
      <c r="E166" s="98">
        <v>158.0</v>
      </c>
    </row>
    <row r="167">
      <c r="A167" s="103">
        <v>6.0</v>
      </c>
      <c r="E167" s="98">
        <v>159.0</v>
      </c>
    </row>
    <row r="168">
      <c r="A168" s="103">
        <v>12.0</v>
      </c>
      <c r="E168" s="98">
        <v>160.0</v>
      </c>
    </row>
    <row r="169">
      <c r="A169" s="103">
        <v>8.0</v>
      </c>
      <c r="E169" s="98">
        <v>161.0</v>
      </c>
    </row>
    <row r="170">
      <c r="A170" s="103">
        <v>1.0</v>
      </c>
      <c r="E170" s="98">
        <v>162.0</v>
      </c>
    </row>
    <row r="171">
      <c r="A171" s="99">
        <v>9.0</v>
      </c>
      <c r="E171" s="98">
        <v>163.0</v>
      </c>
    </row>
    <row r="172">
      <c r="A172" s="99">
        <v>6.0</v>
      </c>
      <c r="E172" s="98">
        <v>164.0</v>
      </c>
    </row>
    <row r="173">
      <c r="A173" s="99">
        <v>11.0</v>
      </c>
      <c r="E173" s="98">
        <v>165.0</v>
      </c>
    </row>
    <row r="174">
      <c r="A174" s="99">
        <v>3.0</v>
      </c>
      <c r="E174" s="98">
        <v>166.0</v>
      </c>
    </row>
    <row r="175">
      <c r="A175" s="99">
        <v>1.0</v>
      </c>
      <c r="E175" s="98">
        <v>167.0</v>
      </c>
    </row>
    <row r="176">
      <c r="A176" s="106">
        <v>7.0</v>
      </c>
      <c r="E176" s="98">
        <v>168.0</v>
      </c>
    </row>
    <row r="177">
      <c r="A177" s="106">
        <v>4.0</v>
      </c>
      <c r="E177" s="98">
        <v>169.0</v>
      </c>
    </row>
    <row r="178">
      <c r="A178" s="106">
        <v>1.0</v>
      </c>
      <c r="E178" s="98">
        <v>170.0</v>
      </c>
    </row>
    <row r="179">
      <c r="A179" s="106">
        <v>9.0</v>
      </c>
      <c r="E179" s="98">
        <v>171.0</v>
      </c>
    </row>
    <row r="180">
      <c r="A180" s="106">
        <v>6.0</v>
      </c>
      <c r="E180" s="98">
        <v>172.0</v>
      </c>
    </row>
    <row r="181">
      <c r="A181" s="106">
        <v>2.0</v>
      </c>
      <c r="E181" s="98">
        <v>173.0</v>
      </c>
    </row>
    <row r="182">
      <c r="A182" s="108">
        <v>8.0</v>
      </c>
      <c r="E182" s="98">
        <v>174.0</v>
      </c>
    </row>
    <row r="183">
      <c r="A183" s="108">
        <v>3.0</v>
      </c>
      <c r="E183" s="98">
        <v>175.0</v>
      </c>
    </row>
    <row r="184">
      <c r="A184" s="108">
        <v>5.0</v>
      </c>
      <c r="E184" s="98">
        <v>176.0</v>
      </c>
    </row>
    <row r="185">
      <c r="A185" s="108">
        <v>4.0</v>
      </c>
      <c r="E185" s="98">
        <v>177.0</v>
      </c>
    </row>
    <row r="186">
      <c r="A186" s="108">
        <v>1.0</v>
      </c>
      <c r="E186" s="98">
        <v>178.0</v>
      </c>
    </row>
    <row r="187">
      <c r="A187" s="108">
        <v>1.0</v>
      </c>
      <c r="E187" s="98">
        <v>179.0</v>
      </c>
    </row>
    <row r="188">
      <c r="A188" s="105">
        <v>8.0</v>
      </c>
      <c r="E188" s="98">
        <v>180.0</v>
      </c>
    </row>
    <row r="189">
      <c r="A189" s="105">
        <v>3.0</v>
      </c>
      <c r="E189" s="98">
        <v>181.0</v>
      </c>
    </row>
    <row r="190">
      <c r="A190" s="105">
        <v>5.0</v>
      </c>
      <c r="E190" s="98">
        <v>182.0</v>
      </c>
    </row>
    <row r="191">
      <c r="A191" s="105">
        <v>4.0</v>
      </c>
      <c r="E191" s="98">
        <v>183.0</v>
      </c>
    </row>
    <row r="192">
      <c r="A192" s="105">
        <v>3.0</v>
      </c>
      <c r="E192" s="98">
        <v>184.0</v>
      </c>
    </row>
    <row r="193">
      <c r="A193" s="97">
        <v>12.0</v>
      </c>
      <c r="E193" s="98">
        <v>185.0</v>
      </c>
    </row>
    <row r="194">
      <c r="A194" s="97">
        <v>4.0</v>
      </c>
      <c r="E194" s="98">
        <v>186.0</v>
      </c>
    </row>
    <row r="195">
      <c r="A195" s="97">
        <v>7.0</v>
      </c>
      <c r="E195" s="98">
        <v>187.0</v>
      </c>
    </row>
    <row r="196">
      <c r="A196" s="97">
        <v>4.0</v>
      </c>
      <c r="E196" s="98">
        <v>188.0</v>
      </c>
    </row>
    <row r="197">
      <c r="A197" s="97">
        <v>3.0</v>
      </c>
      <c r="E197" s="98">
        <v>189.0</v>
      </c>
    </row>
    <row r="198">
      <c r="A198" s="100">
        <v>7.0</v>
      </c>
      <c r="E198" s="98">
        <v>190.0</v>
      </c>
    </row>
    <row r="199">
      <c r="A199" s="100">
        <v>9.0</v>
      </c>
      <c r="E199" s="98">
        <v>191.0</v>
      </c>
    </row>
    <row r="200">
      <c r="A200" s="100">
        <v>5.0</v>
      </c>
      <c r="E200" s="98">
        <v>192.0</v>
      </c>
    </row>
    <row r="201">
      <c r="A201" s="100">
        <v>1.0</v>
      </c>
      <c r="E201" s="98">
        <v>193.0</v>
      </c>
    </row>
    <row r="202">
      <c r="A202" s="100">
        <v>3.0</v>
      </c>
      <c r="E202" s="98">
        <v>194.0</v>
      </c>
    </row>
    <row r="203">
      <c r="A203" s="101">
        <v>9.0</v>
      </c>
      <c r="E203" s="98">
        <v>195.0</v>
      </c>
    </row>
    <row r="204">
      <c r="A204" s="101">
        <v>6.0</v>
      </c>
      <c r="E204" s="98">
        <v>196.0</v>
      </c>
    </row>
    <row r="205">
      <c r="A205" s="101">
        <v>9.0</v>
      </c>
      <c r="E205" s="98">
        <v>197.0</v>
      </c>
    </row>
    <row r="206">
      <c r="A206" s="101">
        <v>4.0</v>
      </c>
      <c r="E206" s="98">
        <v>198.0</v>
      </c>
    </row>
    <row r="207">
      <c r="A207" s="101">
        <v>2.0</v>
      </c>
      <c r="E207" s="98">
        <v>199.0</v>
      </c>
    </row>
    <row r="208">
      <c r="A208" s="101">
        <v>3.0</v>
      </c>
      <c r="E208" s="98">
        <v>200.0</v>
      </c>
    </row>
    <row r="209">
      <c r="A209" s="105">
        <v>4.0</v>
      </c>
      <c r="E209" s="98">
        <v>201.0</v>
      </c>
    </row>
    <row r="210">
      <c r="A210" s="105">
        <v>2.0</v>
      </c>
      <c r="E210" s="98">
        <v>202.0</v>
      </c>
    </row>
    <row r="211">
      <c r="A211" s="105">
        <v>8.0</v>
      </c>
      <c r="E211" s="98">
        <v>203.0</v>
      </c>
    </row>
    <row r="212">
      <c r="A212" s="105">
        <v>4.0</v>
      </c>
      <c r="E212" s="98">
        <v>204.0</v>
      </c>
    </row>
    <row r="213">
      <c r="A213" s="105">
        <v>4.0</v>
      </c>
      <c r="E213" s="98">
        <v>205.0</v>
      </c>
    </row>
    <row r="214">
      <c r="A214" s="108">
        <v>6.0</v>
      </c>
      <c r="E214" s="98">
        <v>206.0</v>
      </c>
    </row>
    <row r="215">
      <c r="A215" s="108">
        <v>8.0</v>
      </c>
      <c r="E215" s="98">
        <v>207.0</v>
      </c>
    </row>
    <row r="216">
      <c r="A216" s="108">
        <v>8.0</v>
      </c>
      <c r="E216" s="98">
        <v>208.0</v>
      </c>
    </row>
    <row r="217">
      <c r="A217" s="108">
        <v>5.0</v>
      </c>
    </row>
    <row r="218">
      <c r="A218" s="109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