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lanificacion" sheetId="1" r:id="rId4"/>
    <sheet state="visible" name="tabla" sheetId="2" r:id="rId5"/>
  </sheets>
  <definedNames/>
  <calcPr/>
  <extLst>
    <ext uri="GoogleSheetsCustomDataVersion2">
      <go:sheetsCustomData xmlns:go="http://customooxmlschemas.google.com/" r:id="rId6" roundtripDataChecksum="GuvO+Tx1RGQ8Moc/FzgWRgIctH1vAXajSEdfMENt7VE="/>
    </ext>
  </extLst>
</workbook>
</file>

<file path=xl/sharedStrings.xml><?xml version="1.0" encoding="utf-8"?>
<sst xmlns="http://schemas.openxmlformats.org/spreadsheetml/2006/main" count="1391" uniqueCount="503">
  <si>
    <t>incremento 1</t>
  </si>
  <si>
    <t>pila del producto incremento 1</t>
  </si>
  <si>
    <t>fecha estinado</t>
  </si>
  <si>
    <t>caso de uso</t>
  </si>
  <si>
    <t>tarea</t>
  </si>
  <si>
    <t>responsable</t>
  </si>
  <si>
    <t>estimado HH</t>
  </si>
  <si>
    <t>estado</t>
  </si>
  <si>
    <t>objetivo sprint</t>
  </si>
  <si>
    <t>inicio</t>
  </si>
  <si>
    <t>fin</t>
  </si>
  <si>
    <t>Diseñar interfaz inicio sesión</t>
  </si>
  <si>
    <t>Marco Solar</t>
  </si>
  <si>
    <t>Terminado</t>
  </si>
  <si>
    <t>Desarollar el diseño del login con los campos correo y contraseña, y un boton para aceptar e iniciar sesion</t>
  </si>
  <si>
    <t>Redireccion a inicio de sesión</t>
  </si>
  <si>
    <t>Habilitar en pagina inicial un boton para redireccionar a la persona a un entorno para que pueda iniciar sesion</t>
  </si>
  <si>
    <t>Comprobar cuenta existente</t>
  </si>
  <si>
    <t>Implementar un verificador que revisa si el correo usado pertenece a una cuenta existente para la pagina</t>
  </si>
  <si>
    <t>Crear formulario inicar sesión</t>
  </si>
  <si>
    <t>Programar el formulario con los campos y boton</t>
  </si>
  <si>
    <t>Evitar campos vacios</t>
  </si>
  <si>
    <t>Implemetar una comprobacion cuando falta algun campo vacio, evitando que se inicie secion si no se han rellenado todos los campos</t>
  </si>
  <si>
    <t>Evitar error de inicio de sesión</t>
  </si>
  <si>
    <t>Implementar un mensaje tipo texto que aparece cuando los campos  correo o contraseña son incorectos</t>
  </si>
  <si>
    <t>pila del producto</t>
  </si>
  <si>
    <t>Crear formulario de subida</t>
  </si>
  <si>
    <t>Programar el formulario con los campos  para subir 1 o mas documentos</t>
  </si>
  <si>
    <t>Implementar una comprobacion cuando no se han subido un minimo de documentos (1), evitando que la accion prosiga al siguiente paso</t>
  </si>
  <si>
    <t>Comprobar formato de documento</t>
  </si>
  <si>
    <t>Implementar un verificador que revisa el formato de documento subido con los formados permitidos segun la validacion de documento, y denegar los que tenga un formato distinto</t>
  </si>
  <si>
    <t>Evitar error de subida</t>
  </si>
  <si>
    <t>Implementar un mensaje tipo texto que aparece al apretar boton "enviar" cuando no se subio el/los documento(s) o el formato es incorecto</t>
  </si>
  <si>
    <t>Comprobar documento subido</t>
  </si>
  <si>
    <t>Implemetnar un verificador que revisa en la base de datos si el documento termino de ser subido</t>
  </si>
  <si>
    <t>Mensaje documento subido</t>
  </si>
  <si>
    <t>Implementar un mensaje tipo texto que aparece luego de que se comprobo la subida del documento</t>
  </si>
  <si>
    <t>Crear lista categoria</t>
  </si>
  <si>
    <t>Crear una lista con las categorias que estaran disponibles a elegir para el documento</t>
  </si>
  <si>
    <t>Crear formulario de gestion documento</t>
  </si>
  <si>
    <t>Programar el formulario con los campos y botones para elegir la categoria deseada</t>
  </si>
  <si>
    <t>Actualizar categoria documento</t>
  </si>
  <si>
    <t>Conectar con el backend la seleccion en el formulario la categoria elegida y apretar el boton para actualizar la categoria del documneto</t>
  </si>
  <si>
    <t>Comprobar categiria guardada</t>
  </si>
  <si>
    <t>Implementar un verificador que revisa la base de datos que la categoria escogida coincida con la categoria del documento luego de actualizar la categoria del documento</t>
  </si>
  <si>
    <t>Evitar error categoria</t>
  </si>
  <si>
    <t>Implementar un mensaje tipo texto que aparece cuando no se ha elegido la categoria del documento al apretar el boton para colocar la categoria al documento</t>
  </si>
  <si>
    <t>Implementar formulario de busqueda</t>
  </si>
  <si>
    <t>Programar los campos para palabra clave, categoria y boton de busqueda</t>
  </si>
  <si>
    <t>Conectar con backend</t>
  </si>
  <si>
    <t>Configurar el envio de los filtros</t>
  </si>
  <si>
    <t>Implementar funcion de busqueda</t>
  </si>
  <si>
    <t>Programar la logica para buscar el documento segun los criterios recibidos</t>
  </si>
  <si>
    <t>Mostrar resultados de busqueda</t>
  </si>
  <si>
    <t>Diseñar y programar la visualizacion de los resultados de busqueda.</t>
  </si>
  <si>
    <t>Mostrar paginacion / scroll</t>
  </si>
  <si>
    <t>Si el numero de documento supera una cantidad, se implementa paginacion o scroll.</t>
  </si>
  <si>
    <t>Comprobar permisos</t>
  </si>
  <si>
    <t>Implementar comprobador que asegure que el documento pueda ser visto por los usuarios autorizados por rol.</t>
  </si>
  <si>
    <t>Implementar una comprovacion cuando no se cumple el minimo de campos rellenados al apretar boton buscar.</t>
  </si>
  <si>
    <t>Evitar error de buscador de documentos</t>
  </si>
  <si>
    <t>Implementar un mensaje tipo texto que aparesca cuando no se encontro el documento.</t>
  </si>
  <si>
    <t>Implementar boton de descarga</t>
  </si>
  <si>
    <t>Pendiente</t>
  </si>
  <si>
    <t>Implementar botones que permitan al usuario elegir descarga de documento</t>
  </si>
  <si>
    <t>implemetnar logica de descarga</t>
  </si>
  <si>
    <t>Programar el inicio de la descarga cuando el usuario seleccione la opción "descargar"</t>
  </si>
  <si>
    <t>mensaje de descarga</t>
  </si>
  <si>
    <t>Implementar un mensaje tipo texto que aparece luego de que se inicie la descarga del cocumento.</t>
  </si>
  <si>
    <t>Evirtar error descarga</t>
  </si>
  <si>
    <t>Implementar un comprovante para asegurar la descarga del documento seleccionado</t>
  </si>
  <si>
    <t>Implementar formulario de registro</t>
  </si>
  <si>
    <t>Programar el formulario con los campos a llenar y boton "aceptar".</t>
  </si>
  <si>
    <t>Comprobar datos</t>
  </si>
  <si>
    <t>Implementar un comprobante para que los datos ingresados tengan los formatos validos de nombre, correo termine en "@gmail.com" y contraseña tenga un minimo de caracteres.</t>
  </si>
  <si>
    <t>Programar el envio de datos para registrar usuarios.</t>
  </si>
  <si>
    <t>Comprobar correo existente</t>
  </si>
  <si>
    <t>Implementar una comprobacion en la base de datos que el correo ingresado no este registrado antes de crear la cuenta.</t>
  </si>
  <si>
    <t>Guardar datos</t>
  </si>
  <si>
    <t>Guardar los datos del nuevo usuario en la base de datos.</t>
  </si>
  <si>
    <t>Mensaje de usuario registrado</t>
  </si>
  <si>
    <t>Implementar un mensaje tipo texto y redirigir al usuario a la pantalla login luego de crear el usuario de forma exitosa.</t>
  </si>
  <si>
    <t>Evitar error de registro</t>
  </si>
  <si>
    <t>Implemetar un mensaje tipo texto que aparece cuando un campo sin llenar.</t>
  </si>
  <si>
    <t>Implementar formulario de recuperacion</t>
  </si>
  <si>
    <t>Programar el formulario con los campos de correo de la cuenta.</t>
  </si>
  <si>
    <t>Implementar una comprobacion en la base de datos para que el correo ingresado exista al intentar recuperar la cuenta</t>
  </si>
  <si>
    <t>Generar codigo recuperacion</t>
  </si>
  <si>
    <t>Crear un codigo unico que solo podra ser usado con el correo del usuario y con un limite de tiempo de uso para cambiar la contraseña de la cuenta.</t>
  </si>
  <si>
    <t>Enviar codigo recuperacion</t>
  </si>
  <si>
    <t>Programar un envio via email al usuario que contenga un codigo y el link de la plataforma, para cambiar la contraseña.</t>
  </si>
  <si>
    <t>Diseñar interfaz de cambio de contraseña</t>
  </si>
  <si>
    <t>Diseñar la interfaz para que el usuario ingrese el codigo, junto a la nueva contraseña, y boton para completar la accion.</t>
  </si>
  <si>
    <t>Validacion de codigo recuperacion</t>
  </si>
  <si>
    <t>Implementar un verificador para el codigo que compruebe que este coresponda al codigo para cambiar contraseña.</t>
  </si>
  <si>
    <t>Actualizar contraseña</t>
  </si>
  <si>
    <t>Cambiar la antigua contraseña con la nueva contraseña en la base de datos despues de apretar el boton de confirmar.</t>
  </si>
  <si>
    <t>Confirmar cambio contraseña</t>
  </si>
  <si>
    <t>Implementar un mensaje tipo texto que diga "contraseña cambiada" y despues rediriga a la pagina de inicio de sesion.</t>
  </si>
  <si>
    <t>Evitar error de recuperacion de contraseña</t>
  </si>
  <si>
    <t>Implementar un mensaje tipo texto cuando los campos de correo, codigo y contraseña esten vacios; cuando el correo no existe o el codigo es incorrecto o expire.</t>
  </si>
  <si>
    <t>Implementar boton de visualizar</t>
  </si>
  <si>
    <t>Agregar en interfaz un boton "ver en cada documento.</t>
  </si>
  <si>
    <t>Funcion de visualizacion</t>
  </si>
  <si>
    <t>porgramar la visualizacion de documento</t>
  </si>
  <si>
    <t>Evitar error de visualizacion</t>
  </si>
  <si>
    <t>Implementar un mensaje cuando no se puede cargar la vista previa.</t>
  </si>
  <si>
    <t>Comprobar formato</t>
  </si>
  <si>
    <t>Implementar una validacion para el tipo de archivo antes de subir el documento.</t>
  </si>
  <si>
    <t>Evitar error de validar</t>
  </si>
  <si>
    <t>Implementar un mensaje tipo texto cuando el archivo no cumple con los formatos, ademas de mostrar las extenciones de documento permitido.</t>
  </si>
  <si>
    <t>Reintento de validar</t>
  </si>
  <si>
    <t>Permitir el reintento para comprobar que el documento cumple los requisitos.</t>
  </si>
  <si>
    <t>Registro ultima accion del usuario</t>
  </si>
  <si>
    <t>Guardar de forma continua la ultima accion y el tiempo de la ultima interaccion, reemplazando la anterior, y reiniciando el contador, este registro deja de trabajar cuando se cierra sesion de forma automatica o el usuario cierre sesion de forma voluntaria antes de que el contador llegue a 0.</t>
  </si>
  <si>
    <t>Definir tiempo maximo</t>
  </si>
  <si>
    <t>Definir en el sistema el tiempo maximo sin actividad (30 minutos).</t>
  </si>
  <si>
    <t>Cerrar sesion automatico</t>
  </si>
  <si>
    <t>Cerrar sesion tras sobrepasar el tiempo maximo sin actividad.</t>
  </si>
  <si>
    <t>Redirigir a inicio sesión</t>
  </si>
  <si>
    <t>Redirige al usuario a la pantalla de inicio de sesion luego de recargar pagina o ir a otra parte de la pagina.</t>
  </si>
  <si>
    <t>Evitar error al cerrar sesión</t>
  </si>
  <si>
    <t>Implementar un verificador que compruebe que la persona este con la sesion iniciada para navegar en la pagina.</t>
  </si>
  <si>
    <t>mostrar grafico en tiempo real</t>
  </si>
  <si>
    <t>Diseñar una vista que permita al adminstrador ver los graficos actualizados</t>
  </si>
  <si>
    <t>generar grafico de estadisticas</t>
  </si>
  <si>
    <t>Desarollar un grafico de barras para los documentos subidos</t>
  </si>
  <si>
    <t>recalcular y actualizar grafico</t>
  </si>
  <si>
    <t>Permite que el grafico se actualice dinamicamente sobre el total de documentos subidos</t>
  </si>
  <si>
    <t>Evitar error al generar grafico</t>
  </si>
  <si>
    <t>Implementar un comprovante para los documentos y sus categorias a la hora de grafiar los datos</t>
  </si>
  <si>
    <t>incremento 2</t>
  </si>
  <si>
    <t>Generando grafico de reporte de encuesta de satisfaccion</t>
  </si>
  <si>
    <t>Diseñar diagrama de secuencia</t>
  </si>
  <si>
    <t>cesar-daniel</t>
  </si>
  <si>
    <t>Representar secuencia de eventos sobre graficos de encuestas de satisfaccion</t>
  </si>
  <si>
    <t>Diseñar interfaz</t>
  </si>
  <si>
    <t>Permitir visualizar las estadisticas mediante un grafico</t>
  </si>
  <si>
    <t>Implementar filtros</t>
  </si>
  <si>
    <t>Permitir seleccionar un criterio de visualizacion segun satisfaccion</t>
  </si>
  <si>
    <t>Conectar datos</t>
  </si>
  <si>
    <t>Mostrar datos reales registrados desde el sistema</t>
  </si>
  <si>
    <t>Validación</t>
  </si>
  <si>
    <t>Garantizar que el grafico cambie correctamente tras aplicar criterios</t>
  </si>
  <si>
    <t>Reporte de satisfaccion</t>
  </si>
  <si>
    <t>cesar-matias</t>
  </si>
  <si>
    <t>Representar secuencia de eventos para la funcion de reportes de satisfaccion por "categoria" o "programa"</t>
  </si>
  <si>
    <t>Crear interfaz para acceder a reportes por "categoria" o "programa"</t>
  </si>
  <si>
    <t>Permitir filtrar reportes segun criterios seleccionados</t>
  </si>
  <si>
    <t>Calcular datos</t>
  </si>
  <si>
    <t>Procesar los datos y obtener metricas</t>
  </si>
  <si>
    <t>Generar graficos</t>
  </si>
  <si>
    <t>Visualizar datos con los graficos solicitados</t>
  </si>
  <si>
    <t>Eliminar documentos</t>
  </si>
  <si>
    <t>Representar secuencia de eventos al eliminar documentos</t>
  </si>
  <si>
    <t>Diseñar formulario</t>
  </si>
  <si>
    <t>Implementar formulario que permita eliminar documentos</t>
  </si>
  <si>
    <t>Implementar boton que permita eliminar documentos</t>
  </si>
  <si>
    <t>Implementar un boton que permita al usuario eliminar documentos</t>
  </si>
  <si>
    <t>confirmacion antes de eliminar</t>
  </si>
  <si>
    <t>Prevenir eliminaciones accidentales mediante un cuadro de confirmacion</t>
  </si>
  <si>
    <t>Actualizar y mostrar</t>
  </si>
  <si>
    <t>Refrescar la pagina e informar al usuario la eliminacion de un documento</t>
  </si>
  <si>
    <t>Clasificando programa por puntaje</t>
  </si>
  <si>
    <t>Representar secuencia de eventos acerca de clasificar programa por puntaje</t>
  </si>
  <si>
    <t>Crear vista</t>
  </si>
  <si>
    <t>Permitir visualizar ranking con puntajes</t>
  </si>
  <si>
    <t>Crear opcion de ordenar</t>
  </si>
  <si>
    <t>Permitir aplicar y seleccionar criterio para ordenamiento al momento de visualizar resultados</t>
  </si>
  <si>
    <t>Calcular ranking</t>
  </si>
  <si>
    <t>Generar calcular y generar ranking de puntajes</t>
  </si>
  <si>
    <t>Validar calculo</t>
  </si>
  <si>
    <t>Garantizar que se muestren los datos correctamente</t>
  </si>
  <si>
    <t>Navegacion clara</t>
  </si>
  <si>
    <t>Representar secuencia de eventos acerca de navegacion entre areas y carpetas</t>
  </si>
  <si>
    <t>Diseñar menu principal</t>
  </si>
  <si>
    <t>Facilitar acceso a las secciones principales</t>
  </si>
  <si>
    <t>Implementar navegacion</t>
  </si>
  <si>
    <t>Permitir que el usuario explore los documentos de forma clara e intuitiva</t>
  </si>
  <si>
    <t>Validar carga de contenidos</t>
  </si>
  <si>
    <t>Garantizar que la navegacion sea fluida dentro del sistema</t>
  </si>
  <si>
    <t>Pruebas de usabilidad</t>
  </si>
  <si>
    <t>Confirmar fluidez del sistema en base a la experiencia del usuario</t>
  </si>
  <si>
    <t>Reportando cantidad de NNA satisfechos por programa</t>
  </si>
  <si>
    <t>Representar secuencia de eventos sobre reportes de cantidad de NNA satisfechos por programa</t>
  </si>
  <si>
    <t>Interfaz de reportes</t>
  </si>
  <si>
    <t>Visualizar estadisticas dentro de un grafico</t>
  </si>
  <si>
    <t>Generar grafico</t>
  </si>
  <si>
    <t>Establecer criterio al generar un grafico</t>
  </si>
  <si>
    <t>Filtros de agrupación</t>
  </si>
  <si>
    <t>Procesar datos y obtener metricas</t>
  </si>
  <si>
    <t>Mostrar resultados</t>
  </si>
  <si>
    <t>Visualizar distribucion de satisfaccion</t>
  </si>
  <si>
    <t>Reportando cantidad de NNA satisfechos por categoria</t>
  </si>
  <si>
    <t>Diseñar diagrma de secuencia</t>
  </si>
  <si>
    <t>Diseñar el diagrama de secuencia para los eventos de reporte.</t>
  </si>
  <si>
    <t>Diseñar interfaz del módulo</t>
  </si>
  <si>
    <t>Desarrollar la interfaz visual, mostrando los elementos necesarios para generar y visualizar los reportes</t>
  </si>
  <si>
    <t>Programar elementos</t>
  </si>
  <si>
    <t>Programar los elementos necesarios para hacer las cosnultas y poder hacer los calculos que generaran las tablas.</t>
  </si>
  <si>
    <t>Actualizar tabla</t>
  </si>
  <si>
    <t>Implementar un comprovante que actualize la tablas en tiempo real, para una visualizacion de los datos mas actuales disponibles.</t>
  </si>
  <si>
    <t>Mostrar resultados en tabla</t>
  </si>
  <si>
    <t>Crear gráfico de barras o pastel sincronizado con la tabla, usando los porcentajes calculados para cada categoría.</t>
  </si>
  <si>
    <t>Evitar error de reporte</t>
  </si>
  <si>
    <t>Asegurar que ante entradas inválidas o ausencia de datos el sistema muestre mensajes explicativos en lugar de fallar</t>
  </si>
  <si>
    <t>Grafico de reportes de encuesta de insatisfaccion</t>
  </si>
  <si>
    <t>Representar secuencia de eventos acerca de los graficos de reportes</t>
  </si>
  <si>
    <t>Diseñar interfaz de gráficos</t>
  </si>
  <si>
    <t>Desarrollar el diseño de los gráficos con el tipo, forma, color y tamaño, junto con la información que se quiere graficar como archivos totales y tipos de archivos (documento, tabla excel), ortográfico con código de encuesta y estadísticas de los reportes</t>
  </si>
  <si>
    <t>Programar los gráficos</t>
  </si>
  <si>
    <t>Programar los tipos gráficos que serán usados, junto con las solicitudes de información requerida que permitirá visualizar la información, como graficar de los datos de la encuesta de insatisfacción, para visualizar el puntaje de insatisfacción</t>
  </si>
  <si>
    <t>Actualizar los gráficos</t>
  </si>
  <si>
    <t>Implementar un comprobante para que los gráficos se mantengan actualizados pasado un tiempo establecido por los trabajadores, para mantener una visualización de la información más reciente</t>
  </si>
  <si>
    <t>Evitar error de gráficos</t>
  </si>
  <si>
    <t>Implementar un comprobante que permite mantener los gráficos acorde a la información que se obtuvo de las solicitudes, en caso de no funcionar, implementar un botón “actualizar gráfico” que envía una solicitud para actualizar el gráfico</t>
  </si>
  <si>
    <t>Exportacion de datos</t>
  </si>
  <si>
    <t>Diseñar el diagrama de cecuancia que representa los eventos de exportacion de datos</t>
  </si>
  <si>
    <t>Diseñar interfaz de exportación</t>
  </si>
  <si>
    <t>Desarrollar el diseño para exportar los datos como encuestas de satisfacción y auditoría, con la información que desea exportar</t>
  </si>
  <si>
    <t>Programar exportación</t>
  </si>
  <si>
    <t>Programar la tareas de “exportar”, que permita exportar la información deseada, compruebe los permisos del usuario que desea obtener los datos para darle permiso de exportar, y entregar los datos</t>
  </si>
  <si>
    <t>validación exportación</t>
  </si>
  <si>
    <t>Impementar un validador para segurarse que los datos fueron exportados con un mensaje que avisa de la descarga.</t>
  </si>
  <si>
    <t>Evitar error de exportacion</t>
  </si>
  <si>
    <t>Implementar un comprobante para la exportación, junto a un enlace/botón de “volver a exportar”, para el caso de una exportación fallida, el cual hace un llamado para volver a exportar la misma información requerida</t>
  </si>
  <si>
    <t>Reporte de cantidad de respuestas por programa</t>
  </si>
  <si>
    <t>Diseñar el diagrama de secuancia que representa los eventos de reporte de cantidad de respuestas</t>
  </si>
  <si>
    <t>Diseñar la interfaz con opciones de filtrado: agrupar por programa, ordenar y definir período.</t>
  </si>
  <si>
    <t>Programar reporte</t>
  </si>
  <si>
    <t>Implementar la lógica de codigo que agrupa respuestas por programa, calcula conteos y porcentajes para el reporte.</t>
  </si>
  <si>
    <t>Implementar validación</t>
  </si>
  <si>
    <t>Implementar un validador que asegure los filtros seleccionados se reflegen el el reporte generado</t>
  </si>
  <si>
    <t>Generación de la tabla</t>
  </si>
  <si>
    <t>Visaualizar la tabla con los datos deseados</t>
  </si>
  <si>
    <t>Implementar un comprovante de que los elementos relacionados a reporte se mustren de forma correcta, en caso de que los algun elemento presente error se colocara un boton para volver a generar el reporte, y asi evitar realizar la tareas de seleccionar que reporte se quiere</t>
  </si>
  <si>
    <t>Reportando documento existentes e inexistentes</t>
  </si>
  <si>
    <t>Diseñar el diagrama de secuancia que representa los eventos de reporte de exixtencia e inexistencia</t>
  </si>
  <si>
    <t>Diseñar interface de existencias</t>
  </si>
  <si>
    <t xml:space="preserve">Diseñar la interfaz para la generacion de reporte que muetre las opcioens a elegir junto con sus botones </t>
  </si>
  <si>
    <t>Programar existencias</t>
  </si>
  <si>
    <t>Progrmar la logica del codigo que peromite el calculo de documentos existentes e inexistentes, segun la metricas que se consideren adecuadas como % o n°.</t>
  </si>
  <si>
    <t>Actualizacion de datos</t>
  </si>
  <si>
    <t>Impementar un comprovante para que actualiza las tablas segun los datos deseados.</t>
  </si>
  <si>
    <t>Graficar tabla</t>
  </si>
  <si>
    <t>Representar de forma visual los resutados mediante un grafico ya implementado en el codigo</t>
  </si>
  <si>
    <t>Evitar error de existencia</t>
  </si>
  <si>
    <t>Implementar un verificador de informacion necesaria para graficar, en el caso de datos faltante mostrar un mensaje "faltan datos", tambien un boton para actualizar los graficos en caso de ocura un error a la hora de generar las tablas.</t>
  </si>
  <si>
    <t>Encuesta de auditoria</t>
  </si>
  <si>
    <t>Representar secuencia de eventos en encuestas de auditoria</t>
  </si>
  <si>
    <t>Diseñar formulario de auditorias</t>
  </si>
  <si>
    <t>Crear interfaz para nuevas auditorias con las preguntas y los campos a rellenar, junto a un boton para terminar y enviar la encuesta realizada.</t>
  </si>
  <si>
    <t>Programar encuesta</t>
  </si>
  <si>
    <t>Implenetar el codigo para realizar el formato de la encuesta, las llamadas a base de datos  para guardar la infromacion de la encuesta, y despues extraer la informacion obtenida mediante las metricas para calcular el puntaje.</t>
  </si>
  <si>
    <t>Mostrar información</t>
  </si>
  <si>
    <t>Desplegar por pantalla la disponible de informacion de existencias de documentos por cada perfil de nna mediante llamadas al codigo.</t>
  </si>
  <si>
    <t>Implementar base datos anexa</t>
  </si>
  <si>
    <t>Implementar y conectar la base de datos que guardara la información que sera enviada mediante las llamadas del codigo</t>
  </si>
  <si>
    <t>Evitar error de encuesta</t>
  </si>
  <si>
    <t>Implementar un comprovante para asegurar el envio de la infomación que escribe el usuario que realiza la encuesta a la base de datos, en caso cotrario debe mostrar un mensaje de tarea incompleta, para que el usuario vuelva a intentar enviar la encuesta a ser guardada mediante un boton/enlace disponible luego del error.</t>
  </si>
  <si>
    <t>Etiquetado de documentos</t>
  </si>
  <si>
    <t>Diseñar el diagrama de secuancia que representa los eventos de etiquetado</t>
  </si>
  <si>
    <t>Diseñar formulario de etiquetado</t>
  </si>
  <si>
    <t>diseñar el formulario para agregacion de etiquetas, el cuadro donde se puede mirar las etiquetas, junto a un boton para aceptar la etiqueta.</t>
  </si>
  <si>
    <t>Programar etiquetado</t>
  </si>
  <si>
    <t>Programar los elementos necesarios para aplicar la etiqueta al documento seleccionado, como un panel de etiquetas y uno de nuevas etiquetas, y luego de seleccionarlas enviar una solicitud para actualizar las etiquetas</t>
  </si>
  <si>
    <t>Comprobar etiquetas repetida</t>
  </si>
  <si>
    <t>Implementar un comprobante para asegurarse de que no existan más de una misma etiqueta, y evite tener etiquetas repetidas en los documentos, lo cual permite una comprensión clara del documento sin confusiones de tener una etiqueta repetidas múltiples veces para un mismo archivo</t>
  </si>
  <si>
    <t>Evitar error de etiqueta</t>
  </si>
  <si>
    <t>Implementar un comprobante para asegurarse de que la etiqueta seleccionada sea la etiqueta enviada al documento dentro del sistema para evitar las asignación erróneas de una etiqueta que no corresponde a un documento</t>
  </si>
  <si>
    <t>Evitando error de rol</t>
  </si>
  <si>
    <t>Implementar in verificador para segurarse de que la etiqueta elegida al documento seleccionado es enviada, en caso contrario mostrar el mensaje de "sucedio un error con la solicitud", y permita enviar la solicitud el presionar otra vez el boton para completar la tarea.</t>
  </si>
  <si>
    <t>Favoritos o destacados</t>
  </si>
  <si>
    <t>Diseñar el diagrama de secuancia que representa los eventos de los elementos favoritos</t>
  </si>
  <si>
    <t>Diseñar la interfaz de favoritos</t>
  </si>
  <si>
    <t>Diseñar la interfaz que tendra para mostrar que el documento esta marcado, boton par marcar/desmarcar como favoritos al documento.</t>
  </si>
  <si>
    <t>Programar favoritos</t>
  </si>
  <si>
    <t>Implementar un codigo para registro/lista de las preferencias de la cuenta que actualiza los elementos favoritos</t>
  </si>
  <si>
    <t>Visualización de favoritos</t>
  </si>
  <si>
    <t>Mostar al usuario sus documentos destacados como favoritos en su perfil de usuario.</t>
  </si>
  <si>
    <t>Evitar error de etiquetado</t>
  </si>
  <si>
    <t>Implementar un verificador para asegurarse de que los elemetos dentro de la lista de favoritos del usuario corespondan con los elementos marcados por dicho usuario, y no a los de otro usuario.</t>
  </si>
  <si>
    <t>Link de acceso a documentos</t>
  </si>
  <si>
    <t>Diseño diagrama de secuencia</t>
  </si>
  <si>
    <t>Diseñar el diagrama de secuancia que representa los eventos de los links de acceso</t>
  </si>
  <si>
    <t>Diseño de intrefaz de opción</t>
  </si>
  <si>
    <t>Diseñar el boton o la opción de compartir para dicho documento, junto el recuadro donde se ubicara el mensaje que muestre el mensaje.</t>
  </si>
  <si>
    <t>link generado</t>
  </si>
  <si>
    <t>Programar la logica que genera el enlace y lo copia de forma automatica en el portapapeles del usuario.</t>
  </si>
  <si>
    <t>Implementar confirmación</t>
  </si>
  <si>
    <t>Implementar un mesaje por pantalla con el link generado para que el usuario lo pueda copiar de forma manual</t>
  </si>
  <si>
    <t>Evitar error de enlace</t>
  </si>
  <si>
    <t>En caso de no ser generado el enlace se debe poder generar un nuevo enlace distinto del anterior para que se pueda volver a intentar compartir el cocumento seleccionado.</t>
  </si>
  <si>
    <t>Comentarios en documentos</t>
  </si>
  <si>
    <t>Diseñar el diagrama de secuancia que representa los eventos de la seccion de comentarios en los documentos</t>
  </si>
  <si>
    <t>Diseñar sección de comentarios</t>
  </si>
  <si>
    <t>Diseñar el cuadro/modulo que contenga los comentarios, y seccion para agregar comentario, junto a su boton para enviar nuevo comentario.</t>
  </si>
  <si>
    <t>Programar registro</t>
  </si>
  <si>
    <t>Guardar los comentarios el una base de datos asociada al documento y al usuario que realizo el cometario.</t>
  </si>
  <si>
    <t>Validar comentario</t>
  </si>
  <si>
    <t>Implementar un verificador de cantidad de caracteres y si el suario tiene el rol sufisiente para ingresar al documento y realizar el comentario.</t>
  </si>
  <si>
    <t>Visualizacion de comentarios</t>
  </si>
  <si>
    <t>Acceder a la base de datos y mostrar los comentarios guardados en forma de lista dentro de documento, atravez de un boton/seccion para despelgar el cuadro de los comentarios del documento.</t>
  </si>
  <si>
    <t>Evitar error de comentario</t>
  </si>
  <si>
    <t>Impementar un comprovante para asegurarse de que el comentario fue enviado y guardado en la base de datos, mostrando un mensaje de enviado, en caso contrario tendra que mostrar otro mensaje "error de envio", lo cual le permitira volver a enviar el comentario, ademas de evitar los cometarios repetidos por la misma persona en un perido de tiempo similar al del primer comentario enviado.</t>
  </si>
  <si>
    <t>Filtrado por puntaje</t>
  </si>
  <si>
    <t>Representar secuencia de eventos acerca de reportes filtrados por puntaje</t>
  </si>
  <si>
    <t>Permitir al usuario ordenar resultados de encuestas por puntaje</t>
  </si>
  <si>
    <t>Implementar logica</t>
  </si>
  <si>
    <t>Ordenar registros segun criterio elegido</t>
  </si>
  <si>
    <t>Conectar datos al modulo</t>
  </si>
  <si>
    <t>Asegurar que se tomen en cuenta los puntajes calculados</t>
  </si>
  <si>
    <t>Validar resultados del filtro</t>
  </si>
  <si>
    <t>Confirmar que los registros mostrados coinciden con el criterio</t>
  </si>
  <si>
    <t>Reportando por cantidad de respuestas por programa (auditoria)</t>
  </si>
  <si>
    <t>Diseñar diagrama  de secuencia</t>
  </si>
  <si>
    <t>Diseñar el diagrama de secuancia que representa los eventos de los reportes</t>
  </si>
  <si>
    <t>Diseñar componente</t>
  </si>
  <si>
    <t>Definir como se podra visualizar los reportes (tipo de grafico, colores, tamaño, fuente)</t>
  </si>
  <si>
    <t>Progamar logica</t>
  </si>
  <si>
    <t>Impementar un verificador para actualizar de forma autimatica los datos que fueron accedidos</t>
  </si>
  <si>
    <t>Generacion de reporte</t>
  </si>
  <si>
    <t>Generar el grafico visualizado que tiene que mostrar el total de respuestas por porgrama.</t>
  </si>
  <si>
    <t>Evitar error de actualización</t>
  </si>
  <si>
    <t>Implementar un comprovante para asegurares que el componente se carge de forma corecta con su tamaño, fuente, bordes, en caso de no hacerlo, este debe mostrar un mensaje por pantalla como "falta de datos", junto a un boton para actualizar el grafico en caso de un error inesperado de carga en el grafico.</t>
  </si>
  <si>
    <t>Documentos archivados</t>
  </si>
  <si>
    <t>Representar secuencia de eventos sobre documentos archivados</t>
  </si>
  <si>
    <t>opcion para archivar</t>
  </si>
  <si>
    <t>Incorporar accion de archivar en la lista de documentos</t>
  </si>
  <si>
    <t>Programar</t>
  </si>
  <si>
    <t>Cambiar el estado del documento a archivado</t>
  </si>
  <si>
    <t>Implementar confirmacion</t>
  </si>
  <si>
    <t>Mostrar una alerta antes de archivar un documento para evitar accidentes</t>
  </si>
  <si>
    <t>Evitar error de archivado</t>
  </si>
  <si>
    <t>Implementar un comporvante de que el documento fue archivado al realizar una busqueda de dicho archivo en la base de datos, y devuelva un mensaje de "documento archivado con exito", en caso contrario mostrar el mensaje de "error al archivar", y permita volver a realizar la tarea de archivar el susodicho documento.</t>
  </si>
  <si>
    <t>Eliminción temporal (papelera)</t>
  </si>
  <si>
    <t>confirmacion de archivado</t>
  </si>
  <si>
    <t>Mostrar una alerta antes de archivar documentos para evitar accidentes</t>
  </si>
  <si>
    <t>Evitar  error de papelera</t>
  </si>
  <si>
    <t>Implementar un comporvante para asegurarse que el documento fue enviadoa la papelera al hacer una busqueda en la base de datos, en caso de no realizarse mostrara el mensaje de "no se pudo eliminar" y luego de un tiempo vuelva a permirtir la eliminacion temporal.</t>
  </si>
  <si>
    <t>Control de duplicados</t>
  </si>
  <si>
    <t>Representar secuencia de eventos acerca del control de documentos duplicados</t>
  </si>
  <si>
    <t>Analizar documentos subidos</t>
  </si>
  <si>
    <t>Comparar metadatos y contenido para evitar duplicados</t>
  </si>
  <si>
    <t>Diseñar alerta de duplicados</t>
  </si>
  <si>
    <t>Mostrar advertencia cuando un documento sea repetido</t>
  </si>
  <si>
    <t>Programar ofrecimiento de opciones</t>
  </si>
  <si>
    <t>Dar al usuario alternativas frente a documentos repetidos(reemplazar, conservar cambios, cancelar)</t>
  </si>
  <si>
    <t>Programar eleccion del usuario</t>
  </si>
  <si>
    <t>Ejecutar la accion elegida luego de que el sistema arroje las opciones frente a un documento repetido</t>
  </si>
  <si>
    <t>Evitar error de duplicado</t>
  </si>
  <si>
    <t>En el caso de que siga existiendo un duplicado de dicho documento mostar un mensaje por pantalla "error con la tarea", y permita que se vuelva a ejecutar la tareas.</t>
  </si>
  <si>
    <t>Ordenamiento personalizado</t>
  </si>
  <si>
    <t>Representar secuencia de eventos en el ordenamiento de documentos</t>
  </si>
  <si>
    <t>Implementar opcion de ordenamiento en la lista de documentos</t>
  </si>
  <si>
    <t>Permitir seleccionar criterios de ordenamiento (nombre, fecha, categoria)</t>
  </si>
  <si>
    <t>Programar logica para ordenar segun criterio</t>
  </si>
  <si>
    <t>Organizar documentos de forma fluida e intuitiva</t>
  </si>
  <si>
    <t>Mostrar resultados tras aplicar orden</t>
  </si>
  <si>
    <t>Reflejar el orden aplicado en la interfaz</t>
  </si>
  <si>
    <t>Validar persistencia de criterio en la sesion activa</t>
  </si>
  <si>
    <t>Mantener criterio aplicado en lo que dura la sesion</t>
  </si>
  <si>
    <t>Evitar error de ordenamiento</t>
  </si>
  <si>
    <t>Implementar un comprovante que detecte cuado la lista no este ordenada o tenga elementos faltantes, de forma automatica vuelve a generar la lista completa.</t>
  </si>
  <si>
    <t>Marcador de prioridad</t>
  </si>
  <si>
    <t>Representar secuencia de eventos al marcar un documento como prioritario</t>
  </si>
  <si>
    <t>Agregar opcion de prioridad en lista de documentos</t>
  </si>
  <si>
    <t>Permitir marcar documento como "urgente" o "prioritario"</t>
  </si>
  <si>
    <t>Implementar actualizacion de prioridad</t>
  </si>
  <si>
    <t>Guardar estado de prioridad en el sistema</t>
  </si>
  <si>
    <t>Resaltar visualmente documentos prioritarios</t>
  </si>
  <si>
    <t>Diferenciar documentos segun prioridad</t>
  </si>
  <si>
    <t>Validar control de acceso</t>
  </si>
  <si>
    <t>Verificar que solamente usuarios permitidos puedan marcar prioridad</t>
  </si>
  <si>
    <t>Subida por arrastrar y soltar</t>
  </si>
  <si>
    <t>cesar-daneil</t>
  </si>
  <si>
    <t>Representar secuencia de eventos para accion de arrastrar y soltar</t>
  </si>
  <si>
    <t>Implementar zona para arrastrar y soltar</t>
  </si>
  <si>
    <t>Permitir arrastrar archivos y soltarlos en la zona designada</t>
  </si>
  <si>
    <t>Deteccion de archivos arrastrados</t>
  </si>
  <si>
    <t>Capturar eventos de arrastrar y soltar</t>
  </si>
  <si>
    <t>Vista previa del archivo cargado</t>
  </si>
  <si>
    <t>Validar que el archivo se muestre antes de subirlo</t>
  </si>
  <si>
    <t>Programar subida automatica tras confirmacion</t>
  </si>
  <si>
    <t>Completar proceso de carga y guardar en base de datos</t>
  </si>
  <si>
    <t>Etiquetado multiple</t>
  </si>
  <si>
    <t>Representar secuencia de eventos sobre el etiquetado multiple</t>
  </si>
  <si>
    <t>Implementar logica de asignacion multiple</t>
  </si>
  <si>
    <t>Guardar mas de una etiqueta por documento</t>
  </si>
  <si>
    <t>Comprobar visualizacion de etiquetas</t>
  </si>
  <si>
    <t xml:space="preserve">Confirmar que las etiquetas guardadas sean aplicadas correctamente </t>
  </si>
  <si>
    <t>Comprobar etiquetas nuevas y duplicadas</t>
  </si>
  <si>
    <t>Rechazar etiquetas repetidas y aceptar las nuevas</t>
  </si>
  <si>
    <t>Implemetar un comprovante que revise el nombre de las etiquetas no sean iguales como tener alguna letra en mayuscula o reemplazada por algun numero como una o por un 0, entre otras coincidencia que puedan confundir al usuario que quiera etiquetar el documento.</t>
  </si>
  <si>
    <t>Subida de evidencias complementarias</t>
  </si>
  <si>
    <t>Representar secuencia de eventos en la subida de archivos complementarios</t>
  </si>
  <si>
    <t>Crear boton para archivos adicionales</t>
  </si>
  <si>
    <t>Permitir adjuntar evidencias adicionales en la interfaz</t>
  </si>
  <si>
    <t>Programar validacion de archivos adicionales</t>
  </si>
  <si>
    <t>Aceptar solamente los formatos permitidos por el sistema</t>
  </si>
  <si>
    <t>Implementar vinculo con documento principal</t>
  </si>
  <si>
    <t>Asociar evidencia al documento respectivo</t>
  </si>
  <si>
    <t>Probar que las evidencias se guarden y muestren</t>
  </si>
  <si>
    <t>Confirmar que las evidencias se guardan correctamente y se ven en el sistema</t>
  </si>
  <si>
    <t>Implementar un comprovante para asegurares que la evidencia fue subida, en caso de que falten archivos, el usuario puede volver a subir la evidencia faltante.</t>
  </si>
  <si>
    <t>Cambio de nombre del documento</t>
  </si>
  <si>
    <t>Representar secuencia de eventos acerca del cambio de nombre de un documento</t>
  </si>
  <si>
    <t>Habilitar campo editable</t>
  </si>
  <si>
    <t>Diseñar el campo editable y boton para guardar el nombre.</t>
  </si>
  <si>
    <t>Programar validación</t>
  </si>
  <si>
    <t>Porgramar un validador para verificar que el nuevo nombre no este duplicado por cosulta a la base de datos.</t>
  </si>
  <si>
    <t>Mostrar actualización</t>
  </si>
  <si>
    <t>Luego de cambio de nombre debe mostrar por pantalla el nuevo nombre obtenido de la atualizcion de la base de datos para asegurarse que el nombre fue cambiado.</t>
  </si>
  <si>
    <t>Comprobar cambio de nombre</t>
  </si>
  <si>
    <t>Mostrar por pantalla un mensaje cuando el cambio de nombre fue exitosos.</t>
  </si>
  <si>
    <t>Soporte para enlaces externos</t>
  </si>
  <si>
    <t>Representar secuencia de eventos sobre enlaces externos en el sistema</t>
  </si>
  <si>
    <t>Diseñar panel de enlaces externos</t>
  </si>
  <si>
    <t>Permitir añadir enlaces en documentos</t>
  </si>
  <si>
    <t>Validar que el formato de enlaces sea correcto</t>
  </si>
  <si>
    <t>Guardar enlaces asociados al documento</t>
  </si>
  <si>
    <t>Mantener vinculos externos almacenados en un documento</t>
  </si>
  <si>
    <t>Comprobar enlaces externos almacenados</t>
  </si>
  <si>
    <t>Validar que los enlaces externos asociados al documento se muestren correctamente</t>
  </si>
  <si>
    <t>recuperacion papelera</t>
  </si>
  <si>
    <t>Representar secuencia de eventos sobre documentos restaurados desde papelera.</t>
  </si>
  <si>
    <t>Opción para restaurar</t>
  </si>
  <si>
    <t>Incorporar acción de restaurar en la lista de documentos de la papelera.</t>
  </si>
  <si>
    <t>Programar restauración</t>
  </si>
  <si>
    <t>Confirmación de restauración</t>
  </si>
  <si>
    <t>Mostrar una alerta de confirmación antes de restaurar para evitar restauraciones accidentales.</t>
  </si>
  <si>
    <t>Evitar error de restauración</t>
  </si>
  <si>
    <t>Implementar un comprobante para asegurar que el documento fue restaurado correctamente en la base de datos; en caso contrario, mostrar mensaje de error y permitir reintentar.</t>
  </si>
  <si>
    <t>visualización deltallada</t>
  </si>
  <si>
    <t>Opción "Ver Detalles"</t>
  </si>
  <si>
    <t>Representar secuencia de eventos para acceder y navegar por los detalles de un documento.</t>
  </si>
  <si>
    <t>Programar panel de detalles</t>
  </si>
  <si>
    <t>Desarrollar panel o ventana para mostrar metadatos, historial, versiones y propiedades del documento.</t>
  </si>
  <si>
    <t>Obtención de metadatos</t>
  </si>
  <si>
    <t>Implementar lógica para recuperar metadatos, versiones e historial del documento desde la base de datos.</t>
  </si>
  <si>
    <t>Navegación en detalles</t>
  </si>
  <si>
    <t>Permitir la navegación entre las diferentes secciones de detalles (p. ej., propiedades, comentarios, historial).</t>
  </si>
  <si>
    <t>Cierre panel detalles</t>
  </si>
  <si>
    <t>Implementar funcionalidad para cerrar el panel/ventana de detalles y regresar a la vista anterior.</t>
  </si>
  <si>
    <t>incremento</t>
  </si>
  <si>
    <t>cantidad de casos</t>
  </si>
  <si>
    <t>porcentaje %</t>
  </si>
  <si>
    <t>porcentaje acumulado %</t>
  </si>
  <si>
    <t>caso 1</t>
  </si>
  <si>
    <t>caso 2</t>
  </si>
  <si>
    <t>caso 3</t>
  </si>
  <si>
    <t>caso 4</t>
  </si>
  <si>
    <t>caso 5</t>
  </si>
  <si>
    <t>caso 11</t>
  </si>
  <si>
    <t>caso 12</t>
  </si>
  <si>
    <t>caso 16</t>
  </si>
  <si>
    <t>caso 19</t>
  </si>
  <si>
    <t>caso 21</t>
  </si>
  <si>
    <t>caso 47</t>
  </si>
  <si>
    <t>caso 6</t>
  </si>
  <si>
    <t>caso 7</t>
  </si>
  <si>
    <t>caso 8</t>
  </si>
  <si>
    <t>caso 9</t>
  </si>
  <si>
    <t>caso 10</t>
  </si>
  <si>
    <t>caso 13</t>
  </si>
  <si>
    <t>caso 14</t>
  </si>
  <si>
    <t>caso 15</t>
  </si>
  <si>
    <t>caso 17</t>
  </si>
  <si>
    <t>caso 18</t>
  </si>
  <si>
    <t>caso 20</t>
  </si>
  <si>
    <t>caso 22</t>
  </si>
  <si>
    <t>caso 23</t>
  </si>
  <si>
    <t>caso 24</t>
  </si>
  <si>
    <t>caso 25</t>
  </si>
  <si>
    <t>caso 26</t>
  </si>
  <si>
    <t>caso 27</t>
  </si>
  <si>
    <t>caso 28</t>
  </si>
  <si>
    <t>caso 29</t>
  </si>
  <si>
    <t>caso 30</t>
  </si>
  <si>
    <t>eliminar</t>
  </si>
  <si>
    <t>caso 31</t>
  </si>
  <si>
    <t>caso 33</t>
  </si>
  <si>
    <t>caso 36</t>
  </si>
  <si>
    <t>caso 37</t>
  </si>
  <si>
    <t>caso 40</t>
  </si>
  <si>
    <t>caso 41</t>
  </si>
  <si>
    <t>caso 44</t>
  </si>
  <si>
    <t>caso 45</t>
  </si>
  <si>
    <t>caso 46</t>
  </si>
  <si>
    <t>caso 49</t>
  </si>
  <si>
    <t>caso 51</t>
  </si>
  <si>
    <t>incremento 3</t>
  </si>
  <si>
    <t>caso 32</t>
  </si>
  <si>
    <t>caso 34</t>
  </si>
  <si>
    <t>caso 35</t>
  </si>
  <si>
    <t>caso 38</t>
  </si>
  <si>
    <t>caso 39</t>
  </si>
  <si>
    <t>caso 42</t>
  </si>
  <si>
    <t>caso 43</t>
  </si>
  <si>
    <t>caso 48</t>
  </si>
  <si>
    <t>incremento 4</t>
  </si>
  <si>
    <t>caso 50</t>
  </si>
  <si>
    <t>caso 52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</si>
</sst>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
  </numFmts>
  <fonts count="3">
    <font>
      <sz val="10.0"/>
      <color rgb="FF000000"/>
      <name val="Arial"/>
      <scheme val="minor"/>
    </font>
    <font>
      <color rgb="FFFFFFFF"/>
      <name val="Arial"/>
    </font>
    <font>
      <color theme="1"/>
      <name val="Arial"/>
    </font>
  </fonts>
  <fills count="27">
    <fill>
      <patternFill patternType="none"/>
    </fill>
    <fill>
      <patternFill patternType="lightGray"/>
    </fill>
    <fill>
      <patternFill patternType="solid">
        <fgColor rgb="FF666666"/>
        <bgColor rgb="FF666666"/>
      </patternFill>
    </fill>
    <fill>
      <patternFill patternType="solid">
        <fgColor rgb="FFD9D9D9"/>
        <bgColor rgb="FFD9D9D9"/>
      </patternFill>
    </fill>
    <fill>
      <patternFill patternType="solid">
        <fgColor rgb="FFEA9999"/>
        <bgColor rgb="FFEA9999"/>
      </patternFill>
    </fill>
    <fill>
      <patternFill patternType="solid">
        <fgColor rgb="FF6FA8DC"/>
        <bgColor rgb="FF6FA8DC"/>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C9DAF8"/>
        <bgColor rgb="FFC9DAF8"/>
      </patternFill>
    </fill>
    <fill>
      <patternFill patternType="solid">
        <fgColor rgb="FFDD7E6B"/>
        <bgColor rgb="FFDD7E6B"/>
      </patternFill>
    </fill>
    <fill>
      <patternFill patternType="solid">
        <fgColor rgb="FFB4A7D6"/>
        <bgColor rgb="FFB4A7D6"/>
      </patternFill>
    </fill>
    <fill>
      <patternFill patternType="solid">
        <fgColor rgb="FF00FF00"/>
        <bgColor rgb="FF00FF00"/>
      </patternFill>
    </fill>
    <fill>
      <patternFill patternType="solid">
        <fgColor theme="4"/>
        <bgColor theme="4"/>
      </patternFill>
    </fill>
    <fill>
      <patternFill patternType="solid">
        <fgColor rgb="FFD5A6BD"/>
        <bgColor rgb="FFD5A6BD"/>
      </patternFill>
    </fill>
    <fill>
      <patternFill patternType="solid">
        <fgColor theme="5"/>
        <bgColor theme="5"/>
      </patternFill>
    </fill>
    <fill>
      <patternFill patternType="solid">
        <fgColor rgb="FFE69138"/>
        <bgColor rgb="FFE69138"/>
      </patternFill>
    </fill>
    <fill>
      <patternFill patternType="solid">
        <fgColor rgb="FFFCE5CD"/>
        <bgColor rgb="FFFCE5CD"/>
      </patternFill>
    </fill>
    <fill>
      <patternFill patternType="solid">
        <fgColor rgb="FFCC4125"/>
        <bgColor rgb="FFCC4125"/>
      </patternFill>
    </fill>
    <fill>
      <patternFill patternType="solid">
        <fgColor rgb="FFF4CCCC"/>
        <bgColor rgb="FFF4CCCC"/>
      </patternFill>
    </fill>
    <fill>
      <patternFill patternType="solid">
        <fgColor rgb="FF6D9EEB"/>
        <bgColor rgb="FF6D9EEB"/>
      </patternFill>
    </fill>
    <fill>
      <patternFill patternType="solid">
        <fgColor rgb="FFA4C2F4"/>
        <bgColor rgb="FFA4C2F4"/>
      </patternFill>
    </fill>
    <fill>
      <patternFill patternType="solid">
        <fgColor rgb="FF93C47D"/>
        <bgColor rgb="FF93C47D"/>
      </patternFill>
    </fill>
    <fill>
      <patternFill patternType="solid">
        <fgColor rgb="FFD9EAD3"/>
        <bgColor rgb="FFD9EAD3"/>
      </patternFill>
    </fill>
    <fill>
      <patternFill patternType="solid">
        <fgColor rgb="FF8E7CC3"/>
        <bgColor rgb="FF8E7CC3"/>
      </patternFill>
    </fill>
    <fill>
      <patternFill patternType="solid">
        <fgColor rgb="FFD9D2E9"/>
        <bgColor rgb="FFD9D2E9"/>
      </patternFill>
    </fill>
  </fills>
  <borders count="13">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border>
    <border>
      <left style="thin">
        <color rgb="FF000000"/>
      </left>
    </border>
    <border>
      <left style="thin">
        <color rgb="FF000000"/>
      </left>
      <right style="thin">
        <color rgb="FF000000"/>
      </right>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bottom style="thin">
        <color rgb="FF000000"/>
      </bottom>
    </border>
    <border>
      <right style="thin">
        <color rgb="FF000000"/>
      </right>
      <top style="thin">
        <color rgb="FF000000"/>
      </top>
    </border>
  </borders>
  <cellStyleXfs count="1">
    <xf borderId="0" fillId="0" fontId="0" numFmtId="0" applyAlignment="1" applyFont="1"/>
  </cellStyleXfs>
  <cellXfs count="202">
    <xf borderId="0" fillId="0" fontId="0" numFmtId="0" xfId="0" applyAlignment="1" applyFont="1">
      <alignment readingOrder="0" shrinkToFit="0" vertical="bottom" wrapText="0"/>
    </xf>
    <xf borderId="0" fillId="2" fontId="1" numFmtId="0" xfId="0" applyAlignment="1" applyFill="1" applyFont="1">
      <alignment vertical="bottom"/>
    </xf>
    <xf borderId="0" fillId="2" fontId="2" numFmtId="0" xfId="0" applyAlignment="1" applyFont="1">
      <alignment vertical="bottom"/>
    </xf>
    <xf borderId="1" fillId="3" fontId="2" numFmtId="0" xfId="0" applyAlignment="1" applyBorder="1" applyFill="1" applyFont="1">
      <alignment vertical="bottom"/>
    </xf>
    <xf borderId="2" fillId="3" fontId="2" numFmtId="0" xfId="0" applyAlignment="1" applyBorder="1" applyFont="1">
      <alignment vertical="bottom"/>
    </xf>
    <xf borderId="3" fillId="3" fontId="2" numFmtId="0" xfId="0" applyAlignment="1" applyBorder="1" applyFont="1">
      <alignment vertical="bottom"/>
    </xf>
    <xf borderId="4" fillId="3" fontId="2" numFmtId="0" xfId="0" applyAlignment="1" applyBorder="1" applyFont="1">
      <alignment vertical="bottom"/>
    </xf>
    <xf borderId="5" fillId="4" fontId="2" numFmtId="0" xfId="0" applyAlignment="1" applyBorder="1" applyFill="1" applyFont="1">
      <alignment horizontal="right" vertical="bottom"/>
    </xf>
    <xf borderId="6" fillId="4" fontId="2" numFmtId="0" xfId="0" applyAlignment="1" applyBorder="1" applyFont="1">
      <alignment vertical="bottom"/>
    </xf>
    <xf borderId="0" fillId="4" fontId="2" numFmtId="0" xfId="0" applyAlignment="1" applyFont="1">
      <alignment vertical="bottom"/>
    </xf>
    <xf borderId="0" fillId="4" fontId="2" numFmtId="0" xfId="0" applyAlignment="1" applyFont="1">
      <alignment horizontal="right" vertical="bottom"/>
    </xf>
    <xf borderId="7" fillId="4" fontId="2" numFmtId="0" xfId="0" applyAlignment="1" applyBorder="1" applyFont="1">
      <alignment shrinkToFit="0" vertical="bottom" wrapText="1"/>
    </xf>
    <xf borderId="6" fillId="4" fontId="2" numFmtId="164" xfId="0" applyAlignment="1" applyBorder="1" applyFont="1" applyNumberFormat="1">
      <alignment horizontal="right" vertical="bottom"/>
    </xf>
    <xf borderId="5" fillId="4" fontId="2" numFmtId="165" xfId="0" applyAlignment="1" applyBorder="1" applyFont="1" applyNumberFormat="1">
      <alignment horizontal="right" vertical="bottom"/>
    </xf>
    <xf borderId="8" fillId="4" fontId="2" numFmtId="165" xfId="0" applyAlignment="1" applyBorder="1" applyFont="1" applyNumberFormat="1">
      <alignment horizontal="right" vertical="bottom"/>
    </xf>
    <xf borderId="5" fillId="5" fontId="2" numFmtId="0" xfId="0" applyAlignment="1" applyBorder="1" applyFill="1" applyFont="1">
      <alignment horizontal="right" vertical="bottom"/>
    </xf>
    <xf borderId="0" fillId="5" fontId="2" numFmtId="0" xfId="0" applyAlignment="1" applyFont="1">
      <alignment vertical="bottom"/>
    </xf>
    <xf borderId="0" fillId="5" fontId="2" numFmtId="0" xfId="0" applyAlignment="1" applyFont="1">
      <alignment horizontal="right" vertical="bottom"/>
    </xf>
    <xf borderId="7" fillId="5" fontId="2" numFmtId="0" xfId="0" applyAlignment="1" applyBorder="1" applyFont="1">
      <alignment shrinkToFit="0" vertical="bottom" wrapText="1"/>
    </xf>
    <xf borderId="0" fillId="5" fontId="2" numFmtId="164" xfId="0" applyAlignment="1" applyFont="1" applyNumberFormat="1">
      <alignment horizontal="right" vertical="bottom"/>
    </xf>
    <xf borderId="5" fillId="5" fontId="2" numFmtId="165" xfId="0" applyAlignment="1" applyBorder="1" applyFont="1" applyNumberFormat="1">
      <alignment horizontal="right" vertical="bottom"/>
    </xf>
    <xf borderId="9" fillId="5" fontId="2" numFmtId="0" xfId="0" applyAlignment="1" applyBorder="1" applyFont="1">
      <alignment shrinkToFit="0" vertical="bottom" wrapText="1"/>
    </xf>
    <xf borderId="5" fillId="6" fontId="2" numFmtId="0" xfId="0" applyAlignment="1" applyBorder="1" applyFill="1" applyFont="1">
      <alignment horizontal="right" vertical="bottom"/>
    </xf>
    <xf borderId="0" fillId="6" fontId="2" numFmtId="0" xfId="0" applyAlignment="1" applyFont="1">
      <alignment vertical="bottom"/>
    </xf>
    <xf borderId="0" fillId="6" fontId="2" numFmtId="0" xfId="0" applyAlignment="1" applyFont="1">
      <alignment horizontal="right" vertical="bottom"/>
    </xf>
    <xf borderId="7" fillId="6" fontId="2" numFmtId="0" xfId="0" applyAlignment="1" applyBorder="1" applyFont="1">
      <alignment shrinkToFit="0" vertical="bottom" wrapText="1"/>
    </xf>
    <xf borderId="0" fillId="6" fontId="2" numFmtId="164" xfId="0" applyAlignment="1" applyFont="1" applyNumberFormat="1">
      <alignment horizontal="right" vertical="bottom"/>
    </xf>
    <xf borderId="5" fillId="6" fontId="2" numFmtId="165" xfId="0" applyAlignment="1" applyBorder="1" applyFont="1" applyNumberFormat="1">
      <alignment horizontal="right" vertical="bottom"/>
    </xf>
    <xf borderId="5" fillId="7" fontId="2" numFmtId="0" xfId="0" applyAlignment="1" applyBorder="1" applyFill="1" applyFont="1">
      <alignment horizontal="right" vertical="bottom"/>
    </xf>
    <xf borderId="0" fillId="7" fontId="2" numFmtId="0" xfId="0" applyAlignment="1" applyFont="1">
      <alignment vertical="bottom"/>
    </xf>
    <xf borderId="0" fillId="7" fontId="2" numFmtId="0" xfId="0" applyAlignment="1" applyFont="1">
      <alignment horizontal="right" vertical="bottom"/>
    </xf>
    <xf borderId="7" fillId="7" fontId="2" numFmtId="0" xfId="0" applyAlignment="1" applyBorder="1" applyFont="1">
      <alignment shrinkToFit="0" vertical="bottom" wrapText="1"/>
    </xf>
    <xf borderId="0" fillId="7" fontId="2" numFmtId="164" xfId="0" applyAlignment="1" applyFont="1" applyNumberFormat="1">
      <alignment horizontal="right" vertical="bottom"/>
    </xf>
    <xf borderId="5" fillId="7" fontId="2" numFmtId="165" xfId="0" applyAlignment="1" applyBorder="1" applyFont="1" applyNumberFormat="1">
      <alignment horizontal="right" vertical="bottom"/>
    </xf>
    <xf borderId="9" fillId="7" fontId="2" numFmtId="0" xfId="0" applyAlignment="1" applyBorder="1" applyFont="1">
      <alignment shrinkToFit="0" vertical="bottom" wrapText="1"/>
    </xf>
    <xf borderId="10" fillId="8" fontId="2" numFmtId="0" xfId="0" applyAlignment="1" applyBorder="1" applyFill="1" applyFont="1">
      <alignment horizontal="right" vertical="bottom"/>
    </xf>
    <xf borderId="0" fillId="8" fontId="2" numFmtId="0" xfId="0" applyAlignment="1" applyFont="1">
      <alignment vertical="bottom"/>
    </xf>
    <xf borderId="0" fillId="8" fontId="2" numFmtId="0" xfId="0" applyAlignment="1" applyFont="1">
      <alignment horizontal="right" vertical="bottom"/>
    </xf>
    <xf borderId="7" fillId="8" fontId="2" numFmtId="0" xfId="0" applyAlignment="1" applyBorder="1" applyFont="1">
      <alignment shrinkToFit="0" vertical="bottom" wrapText="1"/>
    </xf>
    <xf borderId="0" fillId="8" fontId="2" numFmtId="164" xfId="0" applyAlignment="1" applyFont="1" applyNumberFormat="1">
      <alignment horizontal="right" vertical="bottom"/>
    </xf>
    <xf borderId="5" fillId="8" fontId="2" numFmtId="164" xfId="0" applyAlignment="1" applyBorder="1" applyFont="1" applyNumberFormat="1">
      <alignment horizontal="right" vertical="bottom"/>
    </xf>
    <xf borderId="7" fillId="8" fontId="2" numFmtId="0" xfId="0" applyAlignment="1" applyBorder="1" applyFont="1">
      <alignment horizontal="right" vertical="bottom"/>
    </xf>
    <xf borderId="10" fillId="9" fontId="2" numFmtId="0" xfId="0" applyAlignment="1" applyBorder="1" applyFill="1" applyFont="1">
      <alignment horizontal="right" vertical="bottom"/>
    </xf>
    <xf borderId="0" fillId="9" fontId="2" numFmtId="0" xfId="0" applyAlignment="1" applyFont="1">
      <alignment vertical="bottom"/>
    </xf>
    <xf borderId="0" fillId="9" fontId="2" numFmtId="0" xfId="0" applyAlignment="1" applyFont="1">
      <alignment horizontal="right" vertical="bottom"/>
    </xf>
    <xf borderId="7" fillId="9" fontId="2" numFmtId="0" xfId="0" applyAlignment="1" applyBorder="1" applyFont="1">
      <alignment shrinkToFit="0" vertical="bottom" wrapText="1"/>
    </xf>
    <xf borderId="0" fillId="9" fontId="2" numFmtId="164" xfId="0" applyAlignment="1" applyFont="1" applyNumberFormat="1">
      <alignment horizontal="right" vertical="bottom"/>
    </xf>
    <xf borderId="5" fillId="9" fontId="2" numFmtId="165" xfId="0" applyAlignment="1" applyBorder="1" applyFont="1" applyNumberFormat="1">
      <alignment horizontal="right" vertical="bottom"/>
    </xf>
    <xf borderId="7" fillId="9" fontId="2" numFmtId="0" xfId="0" applyAlignment="1" applyBorder="1" applyFont="1">
      <alignment horizontal="right" vertical="bottom"/>
    </xf>
    <xf borderId="9" fillId="9" fontId="2" numFmtId="0" xfId="0" applyAlignment="1" applyBorder="1" applyFont="1">
      <alignment horizontal="right" vertical="bottom"/>
    </xf>
    <xf borderId="9" fillId="9" fontId="2" numFmtId="0" xfId="0" applyAlignment="1" applyBorder="1" applyFont="1">
      <alignment shrinkToFit="0" vertical="bottom" wrapText="1"/>
    </xf>
    <xf borderId="5" fillId="10" fontId="2" numFmtId="0" xfId="0" applyAlignment="1" applyBorder="1" applyFill="1" applyFont="1">
      <alignment horizontal="right" vertical="bottom"/>
    </xf>
    <xf borderId="0" fillId="10" fontId="2" numFmtId="0" xfId="0" applyAlignment="1" applyFont="1">
      <alignment vertical="bottom"/>
    </xf>
    <xf borderId="0" fillId="10" fontId="2" numFmtId="0" xfId="0" applyAlignment="1" applyFont="1">
      <alignment horizontal="right" vertical="bottom"/>
    </xf>
    <xf borderId="7" fillId="10" fontId="2" numFmtId="0" xfId="0" applyAlignment="1" applyBorder="1" applyFont="1">
      <alignment shrinkToFit="0" vertical="bottom" wrapText="1"/>
    </xf>
    <xf borderId="0" fillId="10" fontId="2" numFmtId="164" xfId="0" applyAlignment="1" applyFont="1" applyNumberFormat="1">
      <alignment horizontal="right" vertical="bottom"/>
    </xf>
    <xf borderId="5" fillId="10" fontId="2" numFmtId="165" xfId="0" applyAlignment="1" applyBorder="1" applyFont="1" applyNumberFormat="1">
      <alignment horizontal="right" vertical="bottom"/>
    </xf>
    <xf borderId="5" fillId="10" fontId="2" numFmtId="164" xfId="0" applyAlignment="1" applyBorder="1" applyFont="1" applyNumberFormat="1">
      <alignment horizontal="right" vertical="bottom"/>
    </xf>
    <xf borderId="9" fillId="10" fontId="2" numFmtId="0" xfId="0" applyAlignment="1" applyBorder="1" applyFont="1">
      <alignment shrinkToFit="0" vertical="bottom" wrapText="1"/>
    </xf>
    <xf borderId="5" fillId="11" fontId="2" numFmtId="0" xfId="0" applyAlignment="1" applyBorder="1" applyFill="1" applyFont="1">
      <alignment horizontal="right" vertical="bottom"/>
    </xf>
    <xf borderId="0" fillId="11" fontId="2" numFmtId="0" xfId="0" applyAlignment="1" applyFont="1">
      <alignment vertical="bottom"/>
    </xf>
    <xf borderId="0" fillId="11" fontId="2" numFmtId="0" xfId="0" applyAlignment="1" applyFont="1">
      <alignment horizontal="right" vertical="bottom"/>
    </xf>
    <xf borderId="7" fillId="11" fontId="2" numFmtId="0" xfId="0" applyAlignment="1" applyBorder="1" applyFont="1">
      <alignment shrinkToFit="0" vertical="bottom" wrapText="1"/>
    </xf>
    <xf borderId="0" fillId="11" fontId="2" numFmtId="164" xfId="0" applyAlignment="1" applyFont="1" applyNumberFormat="1">
      <alignment horizontal="right" vertical="bottom"/>
    </xf>
    <xf borderId="5" fillId="11" fontId="2" numFmtId="165" xfId="0" applyAlignment="1" applyBorder="1" applyFont="1" applyNumberFormat="1">
      <alignment horizontal="right" vertical="bottom"/>
    </xf>
    <xf borderId="5" fillId="12" fontId="2" numFmtId="0" xfId="0" applyAlignment="1" applyBorder="1" applyFill="1" applyFont="1">
      <alignment horizontal="right" vertical="bottom"/>
    </xf>
    <xf borderId="0" fillId="12" fontId="2" numFmtId="0" xfId="0" applyAlignment="1" applyFont="1">
      <alignment vertical="bottom"/>
    </xf>
    <xf borderId="0" fillId="12" fontId="2" numFmtId="0" xfId="0" applyAlignment="1" applyFont="1">
      <alignment horizontal="right" vertical="bottom"/>
    </xf>
    <xf borderId="7" fillId="12" fontId="2" numFmtId="0" xfId="0" applyAlignment="1" applyBorder="1" applyFont="1">
      <alignment shrinkToFit="0" vertical="bottom" wrapText="1"/>
    </xf>
    <xf borderId="0" fillId="12" fontId="2" numFmtId="164" xfId="0" applyAlignment="1" applyFont="1" applyNumberFormat="1">
      <alignment horizontal="right" vertical="bottom"/>
    </xf>
    <xf borderId="5" fillId="12" fontId="2" numFmtId="165" xfId="0" applyAlignment="1" applyBorder="1" applyFont="1" applyNumberFormat="1">
      <alignment horizontal="right" vertical="bottom"/>
    </xf>
    <xf borderId="0" fillId="2" fontId="2" numFmtId="164" xfId="0" applyAlignment="1" applyFont="1" applyNumberFormat="1">
      <alignment vertical="bottom"/>
    </xf>
    <xf borderId="5" fillId="4" fontId="2" numFmtId="0" xfId="0" applyAlignment="1" applyBorder="1" applyFont="1">
      <alignment shrinkToFit="0" vertical="bottom" wrapText="1"/>
    </xf>
    <xf borderId="5" fillId="4" fontId="2" numFmtId="164" xfId="0" applyAlignment="1" applyBorder="1" applyFont="1" applyNumberFormat="1">
      <alignment vertical="bottom"/>
    </xf>
    <xf borderId="0" fillId="13" fontId="2" numFmtId="0" xfId="0" applyFill="1" applyFont="1"/>
    <xf borderId="8" fillId="4" fontId="2" numFmtId="164" xfId="0" applyAlignment="1" applyBorder="1" applyFont="1" applyNumberFormat="1">
      <alignment vertical="bottom"/>
    </xf>
    <xf borderId="5" fillId="5" fontId="2" numFmtId="0" xfId="0" applyAlignment="1" applyBorder="1" applyFont="1">
      <alignment shrinkToFit="0" vertical="bottom" wrapText="1"/>
    </xf>
    <xf borderId="5" fillId="5" fontId="2" numFmtId="164" xfId="0" applyAlignment="1" applyBorder="1" applyFont="1" applyNumberFormat="1">
      <alignment vertical="bottom"/>
    </xf>
    <xf borderId="5" fillId="6" fontId="2" numFmtId="0" xfId="0" applyAlignment="1" applyBorder="1" applyFont="1">
      <alignment shrinkToFit="0" vertical="bottom" wrapText="1"/>
    </xf>
    <xf borderId="5" fillId="6" fontId="2" numFmtId="164" xfId="0" applyAlignment="1" applyBorder="1" applyFont="1" applyNumberFormat="1">
      <alignment vertical="bottom"/>
    </xf>
    <xf borderId="5" fillId="7" fontId="2" numFmtId="0" xfId="0" applyAlignment="1" applyBorder="1" applyFont="1">
      <alignment shrinkToFit="0" vertical="bottom" wrapText="1"/>
    </xf>
    <xf borderId="5" fillId="7" fontId="2" numFmtId="164" xfId="0" applyAlignment="1" applyBorder="1" applyFont="1" applyNumberFormat="1">
      <alignment vertical="bottom"/>
    </xf>
    <xf borderId="10" fillId="8" fontId="2" numFmtId="0" xfId="0" applyAlignment="1" applyBorder="1" applyFont="1">
      <alignment shrinkToFit="0" vertical="bottom" wrapText="1"/>
    </xf>
    <xf borderId="5" fillId="8" fontId="2" numFmtId="164" xfId="0" applyAlignment="1" applyBorder="1" applyFont="1" applyNumberFormat="1">
      <alignment vertical="bottom"/>
    </xf>
    <xf borderId="9" fillId="8" fontId="2" numFmtId="0" xfId="0" applyAlignment="1" applyBorder="1" applyFont="1">
      <alignment horizontal="right" vertical="bottom"/>
    </xf>
    <xf borderId="9" fillId="8" fontId="2" numFmtId="0" xfId="0" applyAlignment="1" applyBorder="1" applyFont="1">
      <alignment shrinkToFit="0" vertical="bottom" wrapText="1"/>
    </xf>
    <xf borderId="10" fillId="9" fontId="2" numFmtId="0" xfId="0" applyAlignment="1" applyBorder="1" applyFont="1">
      <alignment shrinkToFit="0" vertical="bottom" wrapText="1"/>
    </xf>
    <xf borderId="5" fillId="9" fontId="2" numFmtId="164" xfId="0" applyAlignment="1" applyBorder="1" applyFont="1" applyNumberFormat="1">
      <alignment vertical="bottom"/>
    </xf>
    <xf borderId="5" fillId="10" fontId="2" numFmtId="0" xfId="0" applyAlignment="1" applyBorder="1" applyFont="1">
      <alignment shrinkToFit="0" vertical="bottom" wrapText="1"/>
    </xf>
    <xf borderId="5" fillId="10" fontId="2" numFmtId="164" xfId="0" applyAlignment="1" applyBorder="1" applyFont="1" applyNumberFormat="1">
      <alignment vertical="bottom"/>
    </xf>
    <xf borderId="5" fillId="10" fontId="2" numFmtId="0" xfId="0" applyAlignment="1" applyBorder="1" applyFont="1">
      <alignment vertical="bottom"/>
    </xf>
    <xf borderId="5" fillId="11" fontId="2" numFmtId="0" xfId="0" applyAlignment="1" applyBorder="1" applyFont="1">
      <alignment shrinkToFit="0" vertical="bottom" wrapText="1"/>
    </xf>
    <xf borderId="5" fillId="11" fontId="2" numFmtId="164" xfId="0" applyAlignment="1" applyBorder="1" applyFont="1" applyNumberFormat="1">
      <alignment vertical="bottom"/>
    </xf>
    <xf borderId="9" fillId="11" fontId="2" numFmtId="0" xfId="0" applyAlignment="1" applyBorder="1" applyFont="1">
      <alignment shrinkToFit="0" vertical="bottom" wrapText="1"/>
    </xf>
    <xf borderId="0" fillId="4" fontId="2" numFmtId="0" xfId="0" applyAlignment="1" applyFont="1">
      <alignment shrinkToFit="0" vertical="bottom" wrapText="1"/>
    </xf>
    <xf borderId="9" fillId="4" fontId="2" numFmtId="0" xfId="0" applyAlignment="1" applyBorder="1" applyFont="1">
      <alignment shrinkToFit="0" vertical="bottom" wrapText="1"/>
    </xf>
    <xf borderId="5" fillId="5" fontId="2" numFmtId="0" xfId="0" applyAlignment="1" applyBorder="1" applyFont="1">
      <alignment vertical="bottom"/>
    </xf>
    <xf borderId="5" fillId="12" fontId="2" numFmtId="0" xfId="0" applyAlignment="1" applyBorder="1" applyFont="1">
      <alignment shrinkToFit="0" vertical="bottom" wrapText="1"/>
    </xf>
    <xf borderId="5" fillId="12" fontId="2" numFmtId="164" xfId="0" applyAlignment="1" applyBorder="1" applyFont="1" applyNumberFormat="1">
      <alignment vertical="bottom"/>
    </xf>
    <xf borderId="5" fillId="12" fontId="2" numFmtId="0" xfId="0" applyAlignment="1" applyBorder="1" applyFont="1">
      <alignment vertical="bottom"/>
    </xf>
    <xf borderId="9" fillId="12" fontId="2" numFmtId="0" xfId="0" applyAlignment="1" applyBorder="1" applyFont="1">
      <alignment shrinkToFit="0" vertical="bottom" wrapText="1"/>
    </xf>
    <xf borderId="0" fillId="14" fontId="2" numFmtId="0" xfId="0" applyFill="1" applyFont="1"/>
    <xf borderId="5" fillId="8" fontId="2" numFmtId="0" xfId="0" applyAlignment="1" applyBorder="1" applyFont="1">
      <alignment shrinkToFit="0" vertical="bottom" wrapText="1"/>
    </xf>
    <xf borderId="5" fillId="8" fontId="2" numFmtId="0" xfId="0" applyAlignment="1" applyBorder="1" applyFont="1">
      <alignment horizontal="right" vertical="bottom"/>
    </xf>
    <xf borderId="6" fillId="8" fontId="2" numFmtId="0" xfId="0" applyAlignment="1" applyBorder="1" applyFont="1">
      <alignment vertical="bottom"/>
    </xf>
    <xf borderId="5" fillId="15" fontId="2" numFmtId="0" xfId="0" applyAlignment="1" applyBorder="1" applyFill="1" applyFont="1">
      <alignment shrinkToFit="0" vertical="bottom" wrapText="1"/>
    </xf>
    <xf borderId="0" fillId="15" fontId="2" numFmtId="0" xfId="0" applyAlignment="1" applyFont="1">
      <alignment vertical="bottom"/>
    </xf>
    <xf borderId="7" fillId="15" fontId="2" numFmtId="0" xfId="0" applyAlignment="1" applyBorder="1" applyFont="1">
      <alignment shrinkToFit="0" vertical="bottom" wrapText="1"/>
    </xf>
    <xf borderId="0" fillId="15" fontId="2" numFmtId="164" xfId="0" applyAlignment="1" applyFont="1" applyNumberFormat="1">
      <alignment horizontal="right" vertical="bottom"/>
    </xf>
    <xf borderId="5" fillId="15" fontId="2" numFmtId="164" xfId="0" applyAlignment="1" applyBorder="1" applyFont="1" applyNumberFormat="1">
      <alignment vertical="bottom"/>
    </xf>
    <xf borderId="5" fillId="15" fontId="2" numFmtId="0" xfId="0" applyAlignment="1" applyBorder="1" applyFont="1">
      <alignment vertical="bottom"/>
    </xf>
    <xf borderId="5" fillId="15" fontId="2" numFmtId="0" xfId="0" applyAlignment="1" applyBorder="1" applyFont="1">
      <alignment horizontal="right" vertical="bottom"/>
    </xf>
    <xf borderId="9" fillId="15" fontId="2" numFmtId="0" xfId="0" applyAlignment="1" applyBorder="1" applyFont="1">
      <alignment shrinkToFit="0" vertical="bottom" wrapText="1"/>
    </xf>
    <xf borderId="5" fillId="11" fontId="2" numFmtId="0" xfId="0" applyAlignment="1" applyBorder="1" applyFont="1">
      <alignment vertical="bottom"/>
    </xf>
    <xf borderId="5" fillId="6" fontId="2" numFmtId="0" xfId="0" applyAlignment="1" applyBorder="1" applyFont="1">
      <alignment vertical="bottom"/>
    </xf>
    <xf borderId="9" fillId="6" fontId="2" numFmtId="0" xfId="0" applyAlignment="1" applyBorder="1" applyFont="1">
      <alignment shrinkToFit="0" vertical="bottom" wrapText="1"/>
    </xf>
    <xf borderId="5" fillId="8" fontId="2" numFmtId="0" xfId="0" applyAlignment="1" applyBorder="1" applyFont="1">
      <alignment vertical="bottom"/>
    </xf>
    <xf borderId="5" fillId="9" fontId="2" numFmtId="0" xfId="0" applyAlignment="1" applyBorder="1" applyFont="1">
      <alignment shrinkToFit="0" vertical="bottom" wrapText="1"/>
    </xf>
    <xf borderId="5" fillId="9" fontId="2" numFmtId="0" xfId="0" applyAlignment="1" applyBorder="1" applyFont="1">
      <alignment horizontal="right" vertical="bottom"/>
    </xf>
    <xf borderId="0" fillId="12" fontId="2" numFmtId="0" xfId="0" applyAlignment="1" applyFont="1">
      <alignment shrinkToFit="0" vertical="bottom" wrapText="1"/>
    </xf>
    <xf borderId="0" fillId="16" fontId="2" numFmtId="0" xfId="0" applyFill="1" applyFont="1"/>
    <xf borderId="6" fillId="4" fontId="2" numFmtId="0" xfId="0" applyAlignment="1" applyBorder="1" applyFont="1">
      <alignment shrinkToFit="0" vertical="bottom" wrapText="1"/>
    </xf>
    <xf borderId="8" fillId="15" fontId="2" numFmtId="0" xfId="0" applyAlignment="1" applyBorder="1" applyFont="1">
      <alignment horizontal="right" vertical="bottom"/>
    </xf>
    <xf borderId="11" fillId="15" fontId="2" numFmtId="0" xfId="0" applyAlignment="1" applyBorder="1" applyFont="1">
      <alignment vertical="bottom"/>
    </xf>
    <xf borderId="11" fillId="15" fontId="2" numFmtId="164" xfId="0" applyAlignment="1" applyBorder="1" applyFont="1" applyNumberFormat="1">
      <alignment horizontal="right" vertical="bottom"/>
    </xf>
    <xf borderId="8" fillId="15" fontId="2" numFmtId="164" xfId="0" applyAlignment="1" applyBorder="1" applyFont="1" applyNumberFormat="1">
      <alignment vertical="bottom"/>
    </xf>
    <xf borderId="1" fillId="3" fontId="2" numFmtId="0" xfId="0" applyAlignment="1" applyBorder="1" applyFont="1">
      <alignment vertical="bottom"/>
    </xf>
    <xf borderId="2" fillId="3" fontId="2" numFmtId="0" xfId="0" applyAlignment="1" applyBorder="1" applyFont="1">
      <alignment vertical="bottom"/>
    </xf>
    <xf borderId="3" fillId="3" fontId="2" numFmtId="0" xfId="0" applyAlignment="1" applyBorder="1" applyFont="1">
      <alignment vertical="bottom"/>
    </xf>
    <xf borderId="4" fillId="3" fontId="2" numFmtId="0" xfId="0" applyAlignment="1" applyBorder="1" applyFont="1">
      <alignment vertical="bottom"/>
    </xf>
    <xf borderId="5" fillId="8" fontId="2" numFmtId="0" xfId="0" applyAlignment="1" applyBorder="1" applyFont="1">
      <alignment shrinkToFit="0" vertical="bottom" wrapText="1"/>
    </xf>
    <xf borderId="0" fillId="8" fontId="2" numFmtId="0" xfId="0" applyAlignment="1" applyFont="1">
      <alignment vertical="bottom"/>
    </xf>
    <xf borderId="0" fillId="8" fontId="2" numFmtId="0" xfId="0" applyAlignment="1" applyFont="1">
      <alignment horizontal="right" vertical="bottom"/>
    </xf>
    <xf borderId="7" fillId="8" fontId="2" numFmtId="0" xfId="0" applyAlignment="1" applyBorder="1" applyFont="1">
      <alignment shrinkToFit="0" vertical="bottom" wrapText="1"/>
    </xf>
    <xf borderId="5" fillId="8" fontId="2" numFmtId="0" xfId="0" applyAlignment="1" applyBorder="1" applyFont="1">
      <alignment horizontal="right" vertical="bottom"/>
    </xf>
    <xf borderId="0" fillId="8" fontId="2" numFmtId="164" xfId="0" applyAlignment="1" applyFont="1" applyNumberFormat="1">
      <alignment horizontal="right" readingOrder="0" vertical="bottom"/>
    </xf>
    <xf borderId="11" fillId="8" fontId="2" numFmtId="0" xfId="0" applyAlignment="1" applyBorder="1" applyFont="1">
      <alignment vertical="bottom"/>
    </xf>
    <xf borderId="11" fillId="8" fontId="2" numFmtId="0" xfId="0" applyAlignment="1" applyBorder="1" applyFont="1">
      <alignment horizontal="right" vertical="bottom"/>
    </xf>
    <xf borderId="9" fillId="8" fontId="2" numFmtId="0" xfId="0" applyAlignment="1" applyBorder="1" applyFont="1">
      <alignment shrinkToFit="0" vertical="bottom" wrapText="1"/>
    </xf>
    <xf borderId="11" fillId="8" fontId="2" numFmtId="164" xfId="0" applyAlignment="1" applyBorder="1" applyFont="1" applyNumberFormat="1">
      <alignment horizontal="right" vertical="bottom"/>
    </xf>
    <xf borderId="5" fillId="12" fontId="2" numFmtId="0" xfId="0" applyAlignment="1" applyBorder="1" applyFont="1">
      <alignment readingOrder="0" shrinkToFit="0" vertical="bottom" wrapText="1"/>
    </xf>
    <xf borderId="0" fillId="12" fontId="2" numFmtId="0" xfId="0" applyAlignment="1" applyFont="1">
      <alignment readingOrder="0" vertical="bottom"/>
    </xf>
    <xf borderId="0" fillId="12" fontId="2" numFmtId="0" xfId="0" applyAlignment="1" applyFont="1">
      <alignment vertical="bottom"/>
    </xf>
    <xf borderId="0" fillId="12" fontId="2" numFmtId="0" xfId="0" applyAlignment="1" applyFont="1">
      <alignment horizontal="right" vertical="bottom"/>
    </xf>
    <xf borderId="7" fillId="12" fontId="2" numFmtId="0" xfId="0" applyAlignment="1" applyBorder="1" applyFont="1">
      <alignment shrinkToFit="0" vertical="bottom" wrapText="1"/>
    </xf>
    <xf borderId="5" fillId="12" fontId="2" numFmtId="0" xfId="0" applyAlignment="1" applyBorder="1" applyFont="1">
      <alignment horizontal="right" vertical="bottom"/>
    </xf>
    <xf borderId="7" fillId="12" fontId="2" numFmtId="0" xfId="0" applyAlignment="1" applyBorder="1" applyFont="1">
      <alignment readingOrder="0" shrinkToFit="0" vertical="bottom" wrapText="1"/>
    </xf>
    <xf borderId="5" fillId="12" fontId="2" numFmtId="164" xfId="0" applyAlignment="1" applyBorder="1" applyFont="1" applyNumberFormat="1">
      <alignment horizontal="right" vertical="bottom"/>
    </xf>
    <xf borderId="8" fillId="12" fontId="2" numFmtId="0" xfId="0" applyAlignment="1" applyBorder="1" applyFont="1">
      <alignment horizontal="right" vertical="bottom"/>
    </xf>
    <xf borderId="11" fillId="12" fontId="2" numFmtId="0" xfId="0" applyAlignment="1" applyBorder="1" applyFont="1">
      <alignment readingOrder="0" vertical="bottom"/>
    </xf>
    <xf borderId="11" fillId="12" fontId="2" numFmtId="0" xfId="0" applyAlignment="1" applyBorder="1" applyFont="1">
      <alignment vertical="bottom"/>
    </xf>
    <xf borderId="11" fillId="12" fontId="2" numFmtId="0" xfId="0" applyAlignment="1" applyBorder="1" applyFont="1">
      <alignment horizontal="right" vertical="bottom"/>
    </xf>
    <xf borderId="9" fillId="12" fontId="2" numFmtId="0" xfId="0" applyAlignment="1" applyBorder="1" applyFont="1">
      <alignment readingOrder="0" shrinkToFit="0" vertical="bottom" wrapText="1"/>
    </xf>
    <xf borderId="11" fillId="12" fontId="2" numFmtId="164" xfId="0" applyAlignment="1" applyBorder="1" applyFont="1" applyNumberFormat="1">
      <alignment horizontal="right" vertical="bottom"/>
    </xf>
    <xf borderId="8" fillId="12" fontId="2" numFmtId="164" xfId="0" applyAlignment="1" applyBorder="1" applyFont="1" applyNumberFormat="1">
      <alignment horizontal="right" vertical="bottom"/>
    </xf>
    <xf borderId="10" fillId="17" fontId="2" numFmtId="0" xfId="0" applyAlignment="1" applyBorder="1" applyFill="1" applyFont="1">
      <alignment vertical="bottom"/>
    </xf>
    <xf borderId="12" fillId="17" fontId="2" numFmtId="0" xfId="0" applyAlignment="1" applyBorder="1" applyFont="1">
      <alignment vertical="bottom"/>
    </xf>
    <xf borderId="12" fillId="17" fontId="2" numFmtId="0" xfId="0" applyAlignment="1" applyBorder="1" applyFont="1">
      <alignment shrinkToFit="0" vertical="bottom" wrapText="1"/>
    </xf>
    <xf borderId="0" fillId="0" fontId="2" numFmtId="0" xfId="0" applyAlignment="1" applyFont="1">
      <alignment vertical="bottom"/>
    </xf>
    <xf borderId="10" fillId="18" fontId="2" numFmtId="0" xfId="0" applyAlignment="1" applyBorder="1" applyFill="1" applyFont="1">
      <alignment horizontal="right" vertical="bottom"/>
    </xf>
    <xf borderId="12" fillId="18" fontId="2" numFmtId="9" xfId="0" applyAlignment="1" applyBorder="1" applyFont="1" applyNumberFormat="1">
      <alignment horizontal="right" vertical="bottom"/>
    </xf>
    <xf borderId="7" fillId="6" fontId="2" numFmtId="0" xfId="0" applyAlignment="1" applyBorder="1" applyFont="1">
      <alignment horizontal="right" vertical="bottom"/>
    </xf>
    <xf borderId="5" fillId="6" fontId="2" numFmtId="9" xfId="0" applyAlignment="1" applyBorder="1" applyFont="1" applyNumberFormat="1">
      <alignment horizontal="right" vertical="bottom"/>
    </xf>
    <xf borderId="7" fillId="18" fontId="2" numFmtId="0" xfId="0" applyAlignment="1" applyBorder="1" applyFont="1">
      <alignment horizontal="right" vertical="bottom"/>
    </xf>
    <xf borderId="5" fillId="18" fontId="2" numFmtId="9" xfId="0" applyAlignment="1" applyBorder="1" applyFont="1" applyNumberFormat="1">
      <alignment horizontal="right" vertical="bottom"/>
    </xf>
    <xf borderId="9" fillId="6" fontId="2" numFmtId="0" xfId="0" applyAlignment="1" applyBorder="1" applyFont="1">
      <alignment horizontal="right" vertical="bottom"/>
    </xf>
    <xf borderId="8" fillId="6" fontId="2" numFmtId="9" xfId="0" applyAlignment="1" applyBorder="1" applyFont="1" applyNumberFormat="1">
      <alignment horizontal="right" vertical="bottom"/>
    </xf>
    <xf borderId="4" fillId="19" fontId="2" numFmtId="0" xfId="0" applyAlignment="1" applyBorder="1" applyFill="1" applyFont="1">
      <alignment vertical="bottom"/>
    </xf>
    <xf borderId="4" fillId="19" fontId="2" numFmtId="0" xfId="0" applyAlignment="1" applyBorder="1" applyFont="1">
      <alignment shrinkToFit="0" vertical="bottom" wrapText="1"/>
    </xf>
    <xf borderId="7" fillId="20" fontId="2" numFmtId="0" xfId="0" applyAlignment="1" applyBorder="1" applyFill="1" applyFont="1">
      <alignment vertical="bottom"/>
    </xf>
    <xf borderId="10" fillId="20" fontId="2" numFmtId="9" xfId="0" applyAlignment="1" applyBorder="1" applyFont="1" applyNumberFormat="1">
      <alignment horizontal="right" vertical="bottom"/>
    </xf>
    <xf borderId="5" fillId="20" fontId="2" numFmtId="9" xfId="0" applyAlignment="1" applyBorder="1" applyFont="1" applyNumberFormat="1">
      <alignment horizontal="right" vertical="bottom"/>
    </xf>
    <xf borderId="0" fillId="0" fontId="2" numFmtId="0" xfId="0" applyAlignment="1" applyFont="1">
      <alignment horizontal="right" vertical="bottom"/>
    </xf>
    <xf borderId="7" fillId="4" fontId="2" numFmtId="0" xfId="0" applyAlignment="1" applyBorder="1" applyFont="1">
      <alignment vertical="bottom"/>
    </xf>
    <xf borderId="7" fillId="4" fontId="2" numFmtId="9" xfId="0" applyAlignment="1" applyBorder="1" applyFont="1" applyNumberFormat="1">
      <alignment horizontal="right" vertical="bottom"/>
    </xf>
    <xf borderId="5" fillId="4" fontId="2" numFmtId="9" xfId="0" applyAlignment="1" applyBorder="1" applyFont="1" applyNumberFormat="1">
      <alignment horizontal="right" vertical="bottom"/>
    </xf>
    <xf borderId="7" fillId="20" fontId="2" numFmtId="9" xfId="0" applyAlignment="1" applyBorder="1" applyFont="1" applyNumberFormat="1">
      <alignment horizontal="right" vertical="bottom"/>
    </xf>
    <xf borderId="9" fillId="20" fontId="2" numFmtId="0" xfId="0" applyAlignment="1" applyBorder="1" applyFont="1">
      <alignment vertical="bottom"/>
    </xf>
    <xf borderId="9" fillId="20" fontId="2" numFmtId="9" xfId="0" applyAlignment="1" applyBorder="1" applyFont="1" applyNumberFormat="1">
      <alignment horizontal="right" vertical="bottom"/>
    </xf>
    <xf borderId="7" fillId="21" fontId="2" numFmtId="0" xfId="0" applyAlignment="1" applyBorder="1" applyFill="1" applyFont="1">
      <alignment vertical="bottom"/>
    </xf>
    <xf borderId="10" fillId="21" fontId="2" numFmtId="0" xfId="0" applyAlignment="1" applyBorder="1" applyFont="1">
      <alignment vertical="bottom"/>
    </xf>
    <xf borderId="10" fillId="21" fontId="2" numFmtId="0" xfId="0" applyAlignment="1" applyBorder="1" applyFont="1">
      <alignment shrinkToFit="0" vertical="bottom" wrapText="1"/>
    </xf>
    <xf borderId="7" fillId="10" fontId="2" numFmtId="0" xfId="0" applyAlignment="1" applyBorder="1" applyFont="1">
      <alignment vertical="bottom"/>
    </xf>
    <xf borderId="5" fillId="10" fontId="2" numFmtId="9" xfId="0" applyAlignment="1" applyBorder="1" applyFont="1" applyNumberFormat="1">
      <alignment horizontal="right" vertical="bottom"/>
    </xf>
    <xf borderId="7" fillId="22" fontId="2" numFmtId="0" xfId="0" applyAlignment="1" applyBorder="1" applyFill="1" applyFont="1">
      <alignment vertical="bottom"/>
    </xf>
    <xf borderId="5" fillId="22" fontId="2" numFmtId="9" xfId="0" applyAlignment="1" applyBorder="1" applyFont="1" applyNumberFormat="1">
      <alignment horizontal="right" vertical="bottom"/>
    </xf>
    <xf borderId="0" fillId="0" fontId="2" numFmtId="0" xfId="0" applyFont="1"/>
    <xf borderId="4" fillId="23" fontId="2" numFmtId="0" xfId="0" applyAlignment="1" applyBorder="1" applyFill="1" applyFont="1">
      <alignment vertical="bottom"/>
    </xf>
    <xf borderId="4" fillId="23" fontId="2" numFmtId="0" xfId="0" applyAlignment="1" applyBorder="1" applyFont="1">
      <alignment shrinkToFit="0" vertical="bottom" wrapText="1"/>
    </xf>
    <xf borderId="7" fillId="24" fontId="2" numFmtId="0" xfId="0" applyAlignment="1" applyBorder="1" applyFill="1" applyFont="1">
      <alignment vertical="bottom"/>
    </xf>
    <xf borderId="7" fillId="24" fontId="2" numFmtId="9" xfId="0" applyAlignment="1" applyBorder="1" applyFont="1" applyNumberFormat="1">
      <alignment horizontal="right" vertical="bottom"/>
    </xf>
    <xf borderId="7" fillId="8" fontId="2" numFmtId="0" xfId="0" applyAlignment="1" applyBorder="1" applyFont="1">
      <alignment vertical="bottom"/>
    </xf>
    <xf borderId="5" fillId="8" fontId="2" numFmtId="9" xfId="0" applyAlignment="1" applyBorder="1" applyFont="1" applyNumberFormat="1">
      <alignment horizontal="right" vertical="bottom"/>
    </xf>
    <xf borderId="5" fillId="24" fontId="2" numFmtId="9" xfId="0" applyAlignment="1" applyBorder="1" applyFont="1" applyNumberFormat="1">
      <alignment horizontal="right" vertical="bottom"/>
    </xf>
    <xf borderId="7" fillId="8" fontId="2" numFmtId="9" xfId="0" applyAlignment="1" applyBorder="1" applyFont="1" applyNumberFormat="1">
      <alignment horizontal="right" vertical="bottom"/>
    </xf>
    <xf borderId="10" fillId="25" fontId="2" numFmtId="0" xfId="0" applyAlignment="1" applyBorder="1" applyFill="1" applyFont="1">
      <alignment vertical="bottom"/>
    </xf>
    <xf borderId="12" fillId="25" fontId="2" numFmtId="0" xfId="0" applyAlignment="1" applyBorder="1" applyFont="1">
      <alignment vertical="bottom"/>
    </xf>
    <xf borderId="12" fillId="25" fontId="2" numFmtId="0" xfId="0" applyAlignment="1" applyBorder="1" applyFont="1">
      <alignment shrinkToFit="0" vertical="bottom" wrapText="1"/>
    </xf>
    <xf borderId="7" fillId="12" fontId="2" numFmtId="0" xfId="0" applyAlignment="1" applyBorder="1" applyFont="1">
      <alignment vertical="bottom"/>
    </xf>
    <xf borderId="5" fillId="12" fontId="2" numFmtId="9" xfId="0" applyAlignment="1" applyBorder="1" applyFont="1" applyNumberFormat="1">
      <alignment horizontal="right" vertical="bottom"/>
    </xf>
    <xf borderId="7" fillId="26" fontId="2" numFmtId="0" xfId="0" applyAlignment="1" applyBorder="1" applyFill="1" applyFont="1">
      <alignment vertical="bottom"/>
    </xf>
    <xf borderId="5" fillId="26" fontId="2" numFmtId="9" xfId="0" applyAlignment="1" applyBorder="1" applyFont="1" applyNumberForma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25.38"/>
    <col customWidth="1" min="3" max="3" width="12.63"/>
    <col customWidth="1" min="4" max="4" width="11.25"/>
    <col customWidth="1" min="5" max="5" width="10.13"/>
    <col customWidth="1" min="6" max="6" width="28.25"/>
    <col customWidth="1" min="7" max="8" width="10.13"/>
  </cols>
  <sheetData>
    <row r="1" ht="15.75" customHeight="1">
      <c r="A1" s="1" t="s">
        <v>0</v>
      </c>
      <c r="B1" s="2"/>
      <c r="C1" s="2"/>
      <c r="D1" s="2"/>
      <c r="E1" s="2"/>
      <c r="F1" s="2"/>
      <c r="G1" s="2"/>
      <c r="H1" s="2"/>
    </row>
    <row r="2" ht="15.75" customHeight="1">
      <c r="A2" s="3" t="s">
        <v>1</v>
      </c>
      <c r="B2" s="4"/>
      <c r="C2" s="4"/>
      <c r="D2" s="4"/>
      <c r="E2" s="4"/>
      <c r="F2" s="5"/>
      <c r="G2" s="3" t="s">
        <v>2</v>
      </c>
      <c r="H2" s="5"/>
    </row>
    <row r="3" ht="15.75" customHeight="1">
      <c r="A3" s="3" t="s">
        <v>3</v>
      </c>
      <c r="B3" s="4" t="s">
        <v>4</v>
      </c>
      <c r="C3" s="4" t="s">
        <v>5</v>
      </c>
      <c r="D3" s="4" t="s">
        <v>6</v>
      </c>
      <c r="E3" s="4" t="s">
        <v>7</v>
      </c>
      <c r="F3" s="6" t="s">
        <v>8</v>
      </c>
      <c r="G3" s="3" t="s">
        <v>9</v>
      </c>
      <c r="H3" s="5" t="s">
        <v>10</v>
      </c>
    </row>
    <row r="4" ht="15.75" customHeight="1">
      <c r="A4" s="7">
        <v>1.0</v>
      </c>
      <c r="B4" s="8" t="s">
        <v>11</v>
      </c>
      <c r="C4" s="9" t="s">
        <v>12</v>
      </c>
      <c r="D4" s="10">
        <v>1.0</v>
      </c>
      <c r="E4" s="9" t="s">
        <v>13</v>
      </c>
      <c r="F4" s="11" t="s">
        <v>14</v>
      </c>
      <c r="G4" s="12">
        <v>45795.0</v>
      </c>
      <c r="H4" s="13">
        <v>45795.0</v>
      </c>
    </row>
    <row r="5" ht="15.75" customHeight="1">
      <c r="A5" s="7">
        <v>1.0</v>
      </c>
      <c r="B5" s="8" t="s">
        <v>15</v>
      </c>
      <c r="C5" s="9" t="s">
        <v>12</v>
      </c>
      <c r="D5" s="10">
        <v>1.0</v>
      </c>
      <c r="E5" s="9" t="s">
        <v>13</v>
      </c>
      <c r="F5" s="11" t="s">
        <v>16</v>
      </c>
      <c r="G5" s="12">
        <v>45795.0</v>
      </c>
      <c r="H5" s="13">
        <v>45795.0</v>
      </c>
    </row>
    <row r="6" ht="15.75" customHeight="1">
      <c r="A6" s="7">
        <v>1.0</v>
      </c>
      <c r="B6" s="8" t="s">
        <v>17</v>
      </c>
      <c r="C6" s="9" t="s">
        <v>12</v>
      </c>
      <c r="D6" s="10">
        <v>2.0</v>
      </c>
      <c r="E6" s="9" t="s">
        <v>13</v>
      </c>
      <c r="F6" s="11" t="s">
        <v>18</v>
      </c>
      <c r="G6" s="12">
        <v>45796.0</v>
      </c>
      <c r="H6" s="13">
        <v>45796.0</v>
      </c>
    </row>
    <row r="7" ht="15.75" customHeight="1">
      <c r="A7" s="7">
        <v>1.0</v>
      </c>
      <c r="B7" s="8" t="s">
        <v>19</v>
      </c>
      <c r="C7" s="9" t="s">
        <v>12</v>
      </c>
      <c r="D7" s="10">
        <v>1.0</v>
      </c>
      <c r="E7" s="9" t="s">
        <v>13</v>
      </c>
      <c r="F7" s="11" t="s">
        <v>20</v>
      </c>
      <c r="G7" s="12">
        <v>45796.0</v>
      </c>
      <c r="H7" s="13">
        <v>45796.0</v>
      </c>
    </row>
    <row r="8" ht="15.75" customHeight="1">
      <c r="A8" s="7">
        <v>1.0</v>
      </c>
      <c r="B8" s="8" t="s">
        <v>21</v>
      </c>
      <c r="C8" s="9" t="s">
        <v>12</v>
      </c>
      <c r="D8" s="10">
        <v>1.0</v>
      </c>
      <c r="E8" s="9" t="s">
        <v>13</v>
      </c>
      <c r="F8" s="11" t="s">
        <v>22</v>
      </c>
      <c r="G8" s="12">
        <v>45796.0</v>
      </c>
      <c r="H8" s="13">
        <v>45796.0</v>
      </c>
    </row>
    <row r="9" ht="15.75" customHeight="1">
      <c r="A9" s="7">
        <v>1.0</v>
      </c>
      <c r="B9" s="8" t="s">
        <v>23</v>
      </c>
      <c r="C9" s="9" t="s">
        <v>12</v>
      </c>
      <c r="D9" s="10">
        <v>1.0</v>
      </c>
      <c r="E9" s="9" t="s">
        <v>13</v>
      </c>
      <c r="F9" s="11" t="s">
        <v>24</v>
      </c>
      <c r="G9" s="12">
        <v>45796.0</v>
      </c>
      <c r="H9" s="14">
        <v>45796.0</v>
      </c>
    </row>
    <row r="10" ht="15.75" customHeight="1">
      <c r="A10" s="3" t="s">
        <v>25</v>
      </c>
      <c r="B10" s="4"/>
      <c r="C10" s="4"/>
      <c r="D10" s="4"/>
      <c r="E10" s="4"/>
      <c r="F10" s="5"/>
      <c r="G10" s="3" t="s">
        <v>2</v>
      </c>
      <c r="H10" s="5"/>
    </row>
    <row r="11" ht="15.75" customHeight="1">
      <c r="A11" s="3" t="s">
        <v>3</v>
      </c>
      <c r="B11" s="4" t="s">
        <v>4</v>
      </c>
      <c r="C11" s="4" t="s">
        <v>5</v>
      </c>
      <c r="D11" s="4" t="s">
        <v>6</v>
      </c>
      <c r="E11" s="4" t="s">
        <v>7</v>
      </c>
      <c r="F11" s="6" t="s">
        <v>8</v>
      </c>
      <c r="G11" s="3" t="s">
        <v>9</v>
      </c>
      <c r="H11" s="5" t="s">
        <v>10</v>
      </c>
    </row>
    <row r="12" ht="15.75" customHeight="1">
      <c r="A12" s="15">
        <v>2.0</v>
      </c>
      <c r="B12" s="16" t="s">
        <v>26</v>
      </c>
      <c r="C12" s="16" t="s">
        <v>12</v>
      </c>
      <c r="D12" s="17">
        <v>1.0</v>
      </c>
      <c r="E12" s="16" t="s">
        <v>13</v>
      </c>
      <c r="F12" s="18" t="s">
        <v>27</v>
      </c>
      <c r="G12" s="19">
        <v>45797.0</v>
      </c>
      <c r="H12" s="20">
        <v>45797.0</v>
      </c>
    </row>
    <row r="13" ht="15.75" customHeight="1">
      <c r="A13" s="15">
        <v>2.0</v>
      </c>
      <c r="B13" s="16" t="s">
        <v>21</v>
      </c>
      <c r="C13" s="16" t="s">
        <v>12</v>
      </c>
      <c r="D13" s="17">
        <v>1.0</v>
      </c>
      <c r="E13" s="16" t="s">
        <v>13</v>
      </c>
      <c r="F13" s="18" t="s">
        <v>28</v>
      </c>
      <c r="G13" s="19">
        <v>45797.0</v>
      </c>
      <c r="H13" s="20">
        <v>45797.0</v>
      </c>
    </row>
    <row r="14" ht="15.75" customHeight="1">
      <c r="A14" s="15">
        <v>2.0</v>
      </c>
      <c r="B14" s="16" t="s">
        <v>29</v>
      </c>
      <c r="C14" s="16" t="s">
        <v>12</v>
      </c>
      <c r="D14" s="17">
        <v>2.0</v>
      </c>
      <c r="E14" s="16" t="s">
        <v>13</v>
      </c>
      <c r="F14" s="18" t="s">
        <v>30</v>
      </c>
      <c r="G14" s="19">
        <v>45797.0</v>
      </c>
      <c r="H14" s="20">
        <v>45797.0</v>
      </c>
    </row>
    <row r="15" ht="15.75" customHeight="1">
      <c r="A15" s="15">
        <v>2.0</v>
      </c>
      <c r="B15" s="16" t="s">
        <v>31</v>
      </c>
      <c r="C15" s="16" t="s">
        <v>12</v>
      </c>
      <c r="D15" s="17">
        <v>1.0</v>
      </c>
      <c r="E15" s="16" t="s">
        <v>13</v>
      </c>
      <c r="F15" s="18" t="s">
        <v>32</v>
      </c>
      <c r="G15" s="19">
        <v>45798.0</v>
      </c>
      <c r="H15" s="20">
        <v>45798.0</v>
      </c>
    </row>
    <row r="16" ht="15.75" customHeight="1">
      <c r="A16" s="15">
        <v>2.0</v>
      </c>
      <c r="B16" s="16" t="s">
        <v>33</v>
      </c>
      <c r="C16" s="16" t="s">
        <v>12</v>
      </c>
      <c r="D16" s="17">
        <v>2.0</v>
      </c>
      <c r="E16" s="16" t="s">
        <v>13</v>
      </c>
      <c r="F16" s="18" t="s">
        <v>34</v>
      </c>
      <c r="G16" s="19">
        <v>45798.0</v>
      </c>
      <c r="H16" s="20">
        <v>45798.0</v>
      </c>
    </row>
    <row r="17" ht="15.75" customHeight="1">
      <c r="A17" s="15">
        <v>2.0</v>
      </c>
      <c r="B17" s="16" t="s">
        <v>35</v>
      </c>
      <c r="C17" s="16" t="s">
        <v>12</v>
      </c>
      <c r="D17" s="17">
        <v>2.0</v>
      </c>
      <c r="E17" s="16" t="s">
        <v>13</v>
      </c>
      <c r="F17" s="21" t="s">
        <v>36</v>
      </c>
      <c r="G17" s="19">
        <v>45798.0</v>
      </c>
      <c r="H17" s="20">
        <v>45798.0</v>
      </c>
    </row>
    <row r="18" ht="15.75" customHeight="1">
      <c r="A18" s="3" t="s">
        <v>25</v>
      </c>
      <c r="B18" s="4"/>
      <c r="C18" s="4"/>
      <c r="D18" s="4"/>
      <c r="E18" s="4"/>
      <c r="F18" s="5"/>
      <c r="G18" s="3" t="s">
        <v>2</v>
      </c>
      <c r="H18" s="5"/>
    </row>
    <row r="19" ht="15.75" customHeight="1">
      <c r="A19" s="3" t="s">
        <v>3</v>
      </c>
      <c r="B19" s="4" t="s">
        <v>4</v>
      </c>
      <c r="C19" s="4" t="s">
        <v>5</v>
      </c>
      <c r="D19" s="4" t="s">
        <v>6</v>
      </c>
      <c r="E19" s="4" t="s">
        <v>7</v>
      </c>
      <c r="F19" s="6" t="s">
        <v>8</v>
      </c>
      <c r="G19" s="3" t="s">
        <v>9</v>
      </c>
      <c r="H19" s="5" t="s">
        <v>10</v>
      </c>
    </row>
    <row r="20" ht="15.75" customHeight="1">
      <c r="A20" s="22">
        <v>3.0</v>
      </c>
      <c r="B20" s="23" t="s">
        <v>37</v>
      </c>
      <c r="C20" s="23" t="s">
        <v>12</v>
      </c>
      <c r="D20" s="24">
        <v>2.0</v>
      </c>
      <c r="E20" s="23" t="s">
        <v>13</v>
      </c>
      <c r="F20" s="25" t="s">
        <v>38</v>
      </c>
      <c r="G20" s="26">
        <v>45799.0</v>
      </c>
      <c r="H20" s="27">
        <v>45799.0</v>
      </c>
    </row>
    <row r="21" ht="15.75" customHeight="1">
      <c r="A21" s="22">
        <v>3.0</v>
      </c>
      <c r="B21" s="23" t="s">
        <v>39</v>
      </c>
      <c r="C21" s="23" t="s">
        <v>12</v>
      </c>
      <c r="D21" s="24">
        <v>1.0</v>
      </c>
      <c r="E21" s="23" t="s">
        <v>13</v>
      </c>
      <c r="F21" s="25" t="s">
        <v>40</v>
      </c>
      <c r="G21" s="26">
        <v>45799.0</v>
      </c>
      <c r="H21" s="27">
        <v>45799.0</v>
      </c>
    </row>
    <row r="22" ht="15.75" customHeight="1">
      <c r="A22" s="22">
        <v>3.0</v>
      </c>
      <c r="B22" s="23" t="s">
        <v>41</v>
      </c>
      <c r="C22" s="23" t="s">
        <v>12</v>
      </c>
      <c r="D22" s="24">
        <v>2.0</v>
      </c>
      <c r="E22" s="23" t="s">
        <v>13</v>
      </c>
      <c r="F22" s="25" t="s">
        <v>42</v>
      </c>
      <c r="G22" s="26">
        <v>45800.0</v>
      </c>
      <c r="H22" s="27">
        <v>45800.0</v>
      </c>
    </row>
    <row r="23" ht="15.75" customHeight="1">
      <c r="A23" s="22">
        <v>3.0</v>
      </c>
      <c r="B23" s="23" t="s">
        <v>43</v>
      </c>
      <c r="C23" s="23" t="s">
        <v>12</v>
      </c>
      <c r="D23" s="24">
        <v>2.0</v>
      </c>
      <c r="E23" s="23" t="s">
        <v>13</v>
      </c>
      <c r="F23" s="25" t="s">
        <v>44</v>
      </c>
      <c r="G23" s="26">
        <v>45800.0</v>
      </c>
      <c r="H23" s="27">
        <v>45800.0</v>
      </c>
    </row>
    <row r="24" ht="15.75" customHeight="1">
      <c r="A24" s="22">
        <v>3.0</v>
      </c>
      <c r="B24" s="23" t="s">
        <v>45</v>
      </c>
      <c r="C24" s="23" t="s">
        <v>12</v>
      </c>
      <c r="D24" s="24">
        <v>2.0</v>
      </c>
      <c r="E24" s="23" t="s">
        <v>13</v>
      </c>
      <c r="F24" s="25" t="s">
        <v>46</v>
      </c>
      <c r="G24" s="26">
        <v>45800.0</v>
      </c>
      <c r="H24" s="27">
        <v>45800.0</v>
      </c>
    </row>
    <row r="25" ht="15.75" customHeight="1">
      <c r="A25" s="3" t="s">
        <v>25</v>
      </c>
      <c r="B25" s="4"/>
      <c r="C25" s="4"/>
      <c r="D25" s="4"/>
      <c r="E25" s="4"/>
      <c r="F25" s="5"/>
      <c r="G25" s="3" t="s">
        <v>2</v>
      </c>
      <c r="H25" s="5"/>
    </row>
    <row r="26" ht="15.75" customHeight="1">
      <c r="A26" s="3" t="s">
        <v>3</v>
      </c>
      <c r="B26" s="4" t="s">
        <v>4</v>
      </c>
      <c r="C26" s="4" t="s">
        <v>5</v>
      </c>
      <c r="D26" s="4" t="s">
        <v>6</v>
      </c>
      <c r="E26" s="4" t="s">
        <v>7</v>
      </c>
      <c r="F26" s="6" t="s">
        <v>8</v>
      </c>
      <c r="G26" s="3" t="s">
        <v>9</v>
      </c>
      <c r="H26" s="5" t="s">
        <v>10</v>
      </c>
    </row>
    <row r="27" ht="15.75" customHeight="1">
      <c r="A27" s="28">
        <v>4.0</v>
      </c>
      <c r="B27" s="29" t="s">
        <v>47</v>
      </c>
      <c r="C27" s="29" t="s">
        <v>12</v>
      </c>
      <c r="D27" s="30">
        <v>1.0</v>
      </c>
      <c r="E27" s="29" t="s">
        <v>13</v>
      </c>
      <c r="F27" s="31" t="s">
        <v>48</v>
      </c>
      <c r="G27" s="32">
        <v>45801.0</v>
      </c>
      <c r="H27" s="33">
        <v>45801.0</v>
      </c>
    </row>
    <row r="28" ht="15.75" customHeight="1">
      <c r="A28" s="28">
        <v>4.0</v>
      </c>
      <c r="B28" s="29" t="s">
        <v>49</v>
      </c>
      <c r="C28" s="29" t="s">
        <v>12</v>
      </c>
      <c r="D28" s="30">
        <v>2.0</v>
      </c>
      <c r="E28" s="29" t="s">
        <v>13</v>
      </c>
      <c r="F28" s="31" t="s">
        <v>50</v>
      </c>
      <c r="G28" s="32">
        <v>45801.0</v>
      </c>
      <c r="H28" s="33">
        <v>45801.0</v>
      </c>
    </row>
    <row r="29" ht="15.75" customHeight="1">
      <c r="A29" s="28">
        <v>4.0</v>
      </c>
      <c r="B29" s="29" t="s">
        <v>51</v>
      </c>
      <c r="C29" s="29" t="s">
        <v>12</v>
      </c>
      <c r="D29" s="30">
        <v>2.0</v>
      </c>
      <c r="E29" s="29" t="s">
        <v>13</v>
      </c>
      <c r="F29" s="31" t="s">
        <v>52</v>
      </c>
      <c r="G29" s="32">
        <v>45801.0</v>
      </c>
      <c r="H29" s="33">
        <v>45801.0</v>
      </c>
    </row>
    <row r="30" ht="15.75" customHeight="1">
      <c r="A30" s="28">
        <v>4.0</v>
      </c>
      <c r="B30" s="29" t="s">
        <v>53</v>
      </c>
      <c r="C30" s="29" t="s">
        <v>12</v>
      </c>
      <c r="D30" s="30">
        <v>2.0</v>
      </c>
      <c r="E30" s="29" t="s">
        <v>13</v>
      </c>
      <c r="F30" s="31" t="s">
        <v>54</v>
      </c>
      <c r="G30" s="32">
        <v>45801.0</v>
      </c>
      <c r="H30" s="33">
        <v>45801.0</v>
      </c>
    </row>
    <row r="31" ht="15.75" customHeight="1">
      <c r="A31" s="28">
        <v>4.0</v>
      </c>
      <c r="B31" s="29" t="s">
        <v>55</v>
      </c>
      <c r="C31" s="29" t="s">
        <v>12</v>
      </c>
      <c r="D31" s="30">
        <v>2.0</v>
      </c>
      <c r="E31" s="29" t="s">
        <v>13</v>
      </c>
      <c r="F31" s="31" t="s">
        <v>56</v>
      </c>
      <c r="G31" s="32">
        <v>45802.0</v>
      </c>
      <c r="H31" s="33">
        <v>45802.0</v>
      </c>
    </row>
    <row r="32" ht="15.75" customHeight="1">
      <c r="A32" s="28">
        <v>4.0</v>
      </c>
      <c r="B32" s="29" t="s">
        <v>57</v>
      </c>
      <c r="C32" s="29" t="s">
        <v>12</v>
      </c>
      <c r="D32" s="30">
        <v>2.0</v>
      </c>
      <c r="E32" s="29" t="s">
        <v>13</v>
      </c>
      <c r="F32" s="31" t="s">
        <v>58</v>
      </c>
      <c r="G32" s="32">
        <v>45802.0</v>
      </c>
      <c r="H32" s="33">
        <v>45802.0</v>
      </c>
    </row>
    <row r="33" ht="15.75" customHeight="1">
      <c r="A33" s="28">
        <v>4.0</v>
      </c>
      <c r="B33" s="29" t="s">
        <v>21</v>
      </c>
      <c r="C33" s="29" t="s">
        <v>12</v>
      </c>
      <c r="D33" s="30">
        <v>2.0</v>
      </c>
      <c r="E33" s="29" t="s">
        <v>13</v>
      </c>
      <c r="F33" s="31" t="s">
        <v>59</v>
      </c>
      <c r="G33" s="32">
        <v>45802.0</v>
      </c>
      <c r="H33" s="33">
        <v>45802.0</v>
      </c>
    </row>
    <row r="34" ht="15.75" customHeight="1">
      <c r="A34" s="28">
        <v>4.0</v>
      </c>
      <c r="B34" s="29" t="s">
        <v>60</v>
      </c>
      <c r="C34" s="29" t="s">
        <v>12</v>
      </c>
      <c r="D34" s="30">
        <v>2.0</v>
      </c>
      <c r="E34" s="29" t="s">
        <v>13</v>
      </c>
      <c r="F34" s="34" t="s">
        <v>61</v>
      </c>
      <c r="G34" s="32">
        <v>45802.0</v>
      </c>
      <c r="H34" s="33">
        <v>45802.0</v>
      </c>
    </row>
    <row r="35" ht="15.75" customHeight="1">
      <c r="A35" s="3" t="s">
        <v>25</v>
      </c>
      <c r="B35" s="4"/>
      <c r="C35" s="4"/>
      <c r="D35" s="4"/>
      <c r="E35" s="4"/>
      <c r="F35" s="5"/>
      <c r="G35" s="3" t="s">
        <v>2</v>
      </c>
      <c r="H35" s="5"/>
    </row>
    <row r="36" ht="15.75" customHeight="1">
      <c r="A36" s="3" t="s">
        <v>3</v>
      </c>
      <c r="B36" s="4" t="s">
        <v>4</v>
      </c>
      <c r="C36" s="4" t="s">
        <v>5</v>
      </c>
      <c r="D36" s="4" t="s">
        <v>6</v>
      </c>
      <c r="E36" s="4" t="s">
        <v>7</v>
      </c>
      <c r="F36" s="6" t="s">
        <v>8</v>
      </c>
      <c r="G36" s="3" t="s">
        <v>9</v>
      </c>
      <c r="H36" s="5" t="s">
        <v>10</v>
      </c>
    </row>
    <row r="37" ht="15.75" customHeight="1">
      <c r="A37" s="35">
        <v>5.0</v>
      </c>
      <c r="B37" s="36" t="s">
        <v>62</v>
      </c>
      <c r="C37" s="36" t="s">
        <v>12</v>
      </c>
      <c r="D37" s="37">
        <v>1.0</v>
      </c>
      <c r="E37" s="36" t="s">
        <v>63</v>
      </c>
      <c r="F37" s="38" t="s">
        <v>64</v>
      </c>
      <c r="G37" s="39">
        <v>45801.0</v>
      </c>
      <c r="H37" s="40">
        <v>45801.0</v>
      </c>
    </row>
    <row r="38" ht="15.75" customHeight="1">
      <c r="A38" s="41">
        <v>5.0</v>
      </c>
      <c r="B38" s="36" t="s">
        <v>65</v>
      </c>
      <c r="C38" s="36" t="s">
        <v>12</v>
      </c>
      <c r="D38" s="37">
        <v>2.0</v>
      </c>
      <c r="E38" s="36" t="s">
        <v>63</v>
      </c>
      <c r="F38" s="38" t="s">
        <v>66</v>
      </c>
      <c r="G38" s="39">
        <v>45801.0</v>
      </c>
      <c r="H38" s="40">
        <v>45801.0</v>
      </c>
    </row>
    <row r="39" ht="15.75" customHeight="1">
      <c r="A39" s="41">
        <v>5.0</v>
      </c>
      <c r="B39" s="36" t="s">
        <v>67</v>
      </c>
      <c r="C39" s="36" t="s">
        <v>12</v>
      </c>
      <c r="D39" s="37">
        <v>1.0</v>
      </c>
      <c r="E39" s="36" t="s">
        <v>63</v>
      </c>
      <c r="F39" s="38" t="s">
        <v>68</v>
      </c>
      <c r="G39" s="39">
        <v>45801.0</v>
      </c>
      <c r="H39" s="40">
        <v>45801.0</v>
      </c>
    </row>
    <row r="40" ht="15.75" customHeight="1">
      <c r="A40" s="41">
        <v>5.0</v>
      </c>
      <c r="B40" s="36" t="s">
        <v>69</v>
      </c>
      <c r="C40" s="36" t="s">
        <v>12</v>
      </c>
      <c r="D40" s="37">
        <v>2.0</v>
      </c>
      <c r="E40" s="36" t="s">
        <v>63</v>
      </c>
      <c r="F40" s="38" t="s">
        <v>70</v>
      </c>
      <c r="G40" s="39">
        <v>45801.0</v>
      </c>
      <c r="H40" s="40">
        <v>45801.0</v>
      </c>
    </row>
    <row r="41" ht="15.75" customHeight="1">
      <c r="A41" s="3" t="s">
        <v>25</v>
      </c>
      <c r="B41" s="4"/>
      <c r="C41" s="4"/>
      <c r="D41" s="4"/>
      <c r="E41" s="4"/>
      <c r="F41" s="5"/>
      <c r="G41" s="3" t="s">
        <v>2</v>
      </c>
      <c r="H41" s="5"/>
    </row>
    <row r="42" ht="15.75" customHeight="1">
      <c r="A42" s="3" t="s">
        <v>3</v>
      </c>
      <c r="B42" s="4" t="s">
        <v>4</v>
      </c>
      <c r="C42" s="4" t="s">
        <v>5</v>
      </c>
      <c r="D42" s="4" t="s">
        <v>6</v>
      </c>
      <c r="E42" s="4" t="s">
        <v>7</v>
      </c>
      <c r="F42" s="6" t="s">
        <v>8</v>
      </c>
      <c r="G42" s="3" t="s">
        <v>9</v>
      </c>
      <c r="H42" s="5" t="s">
        <v>10</v>
      </c>
    </row>
    <row r="43" ht="15.75" customHeight="1">
      <c r="A43" s="42">
        <v>11.0</v>
      </c>
      <c r="B43" s="43" t="s">
        <v>71</v>
      </c>
      <c r="C43" s="43" t="s">
        <v>12</v>
      </c>
      <c r="D43" s="44">
        <v>1.0</v>
      </c>
      <c r="E43" s="43" t="s">
        <v>13</v>
      </c>
      <c r="F43" s="45" t="s">
        <v>72</v>
      </c>
      <c r="G43" s="46">
        <v>45804.0</v>
      </c>
      <c r="H43" s="47">
        <v>45804.0</v>
      </c>
    </row>
    <row r="44" ht="15.75" customHeight="1">
      <c r="A44" s="48">
        <v>11.0</v>
      </c>
      <c r="B44" s="43" t="s">
        <v>73</v>
      </c>
      <c r="C44" s="43" t="s">
        <v>12</v>
      </c>
      <c r="D44" s="44">
        <v>2.0</v>
      </c>
      <c r="E44" s="43" t="s">
        <v>13</v>
      </c>
      <c r="F44" s="45" t="s">
        <v>74</v>
      </c>
      <c r="G44" s="46">
        <v>45804.0</v>
      </c>
      <c r="H44" s="47">
        <v>45804.0</v>
      </c>
    </row>
    <row r="45" ht="15.75" customHeight="1">
      <c r="A45" s="48">
        <v>11.0</v>
      </c>
      <c r="B45" s="43" t="s">
        <v>49</v>
      </c>
      <c r="C45" s="43" t="s">
        <v>12</v>
      </c>
      <c r="D45" s="44">
        <v>2.0</v>
      </c>
      <c r="E45" s="43" t="s">
        <v>13</v>
      </c>
      <c r="F45" s="45" t="s">
        <v>75</v>
      </c>
      <c r="G45" s="46">
        <v>45804.0</v>
      </c>
      <c r="H45" s="47">
        <v>45804.0</v>
      </c>
    </row>
    <row r="46" ht="15.75" customHeight="1">
      <c r="A46" s="48">
        <v>11.0</v>
      </c>
      <c r="B46" s="43" t="s">
        <v>76</v>
      </c>
      <c r="C46" s="43" t="s">
        <v>12</v>
      </c>
      <c r="D46" s="44">
        <v>2.0</v>
      </c>
      <c r="E46" s="43" t="s">
        <v>13</v>
      </c>
      <c r="F46" s="45" t="s">
        <v>77</v>
      </c>
      <c r="G46" s="46">
        <v>45805.0</v>
      </c>
      <c r="H46" s="47">
        <v>45805.0</v>
      </c>
    </row>
    <row r="47" ht="15.75" customHeight="1">
      <c r="A47" s="48">
        <v>11.0</v>
      </c>
      <c r="B47" s="43" t="s">
        <v>78</v>
      </c>
      <c r="C47" s="43" t="s">
        <v>12</v>
      </c>
      <c r="D47" s="44">
        <v>2.0</v>
      </c>
      <c r="E47" s="43" t="s">
        <v>13</v>
      </c>
      <c r="F47" s="45" t="s">
        <v>79</v>
      </c>
      <c r="G47" s="46">
        <v>45806.0</v>
      </c>
      <c r="H47" s="47">
        <v>45806.0</v>
      </c>
    </row>
    <row r="48" ht="15.75" customHeight="1">
      <c r="A48" s="48">
        <v>11.0</v>
      </c>
      <c r="B48" s="43" t="s">
        <v>80</v>
      </c>
      <c r="C48" s="43" t="s">
        <v>12</v>
      </c>
      <c r="D48" s="44">
        <v>2.0</v>
      </c>
      <c r="E48" s="43" t="s">
        <v>13</v>
      </c>
      <c r="F48" s="45" t="s">
        <v>81</v>
      </c>
      <c r="G48" s="46">
        <v>45807.0</v>
      </c>
      <c r="H48" s="47">
        <v>45807.0</v>
      </c>
    </row>
    <row r="49" ht="15.75" customHeight="1">
      <c r="A49" s="49">
        <v>11.0</v>
      </c>
      <c r="B49" s="43" t="s">
        <v>82</v>
      </c>
      <c r="C49" s="43" t="s">
        <v>12</v>
      </c>
      <c r="D49" s="44">
        <v>2.0</v>
      </c>
      <c r="E49" s="43" t="s">
        <v>13</v>
      </c>
      <c r="F49" s="50" t="s">
        <v>83</v>
      </c>
      <c r="G49" s="46">
        <v>45807.0</v>
      </c>
      <c r="H49" s="47">
        <v>45807.0</v>
      </c>
    </row>
    <row r="50" ht="15.75" customHeight="1">
      <c r="A50" s="3" t="s">
        <v>25</v>
      </c>
      <c r="B50" s="4"/>
      <c r="C50" s="4"/>
      <c r="D50" s="4"/>
      <c r="E50" s="4"/>
      <c r="F50" s="5"/>
      <c r="G50" s="3" t="s">
        <v>2</v>
      </c>
      <c r="H50" s="5"/>
    </row>
    <row r="51" ht="15.75" customHeight="1">
      <c r="A51" s="3" t="s">
        <v>3</v>
      </c>
      <c r="B51" s="4" t="s">
        <v>4</v>
      </c>
      <c r="C51" s="4" t="s">
        <v>5</v>
      </c>
      <c r="D51" s="4" t="s">
        <v>6</v>
      </c>
      <c r="E51" s="4" t="s">
        <v>7</v>
      </c>
      <c r="F51" s="6" t="s">
        <v>8</v>
      </c>
      <c r="G51" s="3" t="s">
        <v>9</v>
      </c>
      <c r="H51" s="5" t="s">
        <v>10</v>
      </c>
    </row>
    <row r="52" ht="15.75" customHeight="1">
      <c r="A52" s="51">
        <v>12.0</v>
      </c>
      <c r="B52" s="52" t="s">
        <v>84</v>
      </c>
      <c r="C52" s="52" t="s">
        <v>12</v>
      </c>
      <c r="D52" s="53">
        <v>1.0</v>
      </c>
      <c r="E52" s="52" t="s">
        <v>13</v>
      </c>
      <c r="F52" s="54" t="s">
        <v>85</v>
      </c>
      <c r="G52" s="55">
        <v>45808.0</v>
      </c>
      <c r="H52" s="56">
        <v>45808.0</v>
      </c>
    </row>
    <row r="53" ht="15.75" customHeight="1">
      <c r="A53" s="51">
        <v>12.0</v>
      </c>
      <c r="B53" s="52" t="s">
        <v>76</v>
      </c>
      <c r="C53" s="52" t="s">
        <v>12</v>
      </c>
      <c r="D53" s="53">
        <v>2.0</v>
      </c>
      <c r="E53" s="52" t="s">
        <v>13</v>
      </c>
      <c r="F53" s="54" t="s">
        <v>86</v>
      </c>
      <c r="G53" s="55">
        <v>45808.0</v>
      </c>
      <c r="H53" s="57">
        <v>45808.0</v>
      </c>
    </row>
    <row r="54" ht="15.75" customHeight="1">
      <c r="A54" s="51">
        <v>12.0</v>
      </c>
      <c r="B54" s="52" t="s">
        <v>87</v>
      </c>
      <c r="C54" s="52" t="s">
        <v>12</v>
      </c>
      <c r="D54" s="53">
        <v>2.0</v>
      </c>
      <c r="E54" s="52" t="s">
        <v>13</v>
      </c>
      <c r="F54" s="54" t="s">
        <v>88</v>
      </c>
      <c r="G54" s="55">
        <v>45809.0</v>
      </c>
      <c r="H54" s="56">
        <v>45809.0</v>
      </c>
    </row>
    <row r="55" ht="15.75" customHeight="1">
      <c r="A55" s="51">
        <v>12.0</v>
      </c>
      <c r="B55" s="52" t="s">
        <v>89</v>
      </c>
      <c r="C55" s="52" t="s">
        <v>12</v>
      </c>
      <c r="D55" s="53">
        <v>2.0</v>
      </c>
      <c r="E55" s="52" t="s">
        <v>13</v>
      </c>
      <c r="F55" s="54" t="s">
        <v>90</v>
      </c>
      <c r="G55" s="55">
        <v>45809.0</v>
      </c>
      <c r="H55" s="56">
        <v>45809.0</v>
      </c>
    </row>
    <row r="56" ht="15.75" customHeight="1">
      <c r="A56" s="51">
        <v>12.0</v>
      </c>
      <c r="B56" s="52" t="s">
        <v>91</v>
      </c>
      <c r="C56" s="52" t="s">
        <v>12</v>
      </c>
      <c r="D56" s="53">
        <v>2.0</v>
      </c>
      <c r="E56" s="52" t="s">
        <v>13</v>
      </c>
      <c r="F56" s="54" t="s">
        <v>92</v>
      </c>
      <c r="G56" s="55">
        <v>45809.0</v>
      </c>
      <c r="H56" s="56">
        <v>45809.0</v>
      </c>
    </row>
    <row r="57" ht="15.75" customHeight="1">
      <c r="A57" s="51">
        <v>12.0</v>
      </c>
      <c r="B57" s="52" t="s">
        <v>93</v>
      </c>
      <c r="C57" s="52" t="s">
        <v>12</v>
      </c>
      <c r="D57" s="53">
        <v>2.0</v>
      </c>
      <c r="E57" s="52" t="s">
        <v>13</v>
      </c>
      <c r="F57" s="54" t="s">
        <v>94</v>
      </c>
      <c r="G57" s="55">
        <v>45810.0</v>
      </c>
      <c r="H57" s="56">
        <v>45810.0</v>
      </c>
    </row>
    <row r="58" ht="15.75" customHeight="1">
      <c r="A58" s="51">
        <v>12.0</v>
      </c>
      <c r="B58" s="52" t="s">
        <v>95</v>
      </c>
      <c r="C58" s="52" t="s">
        <v>12</v>
      </c>
      <c r="D58" s="53">
        <v>2.0</v>
      </c>
      <c r="E58" s="52" t="s">
        <v>13</v>
      </c>
      <c r="F58" s="54" t="s">
        <v>96</v>
      </c>
      <c r="G58" s="55">
        <v>45810.0</v>
      </c>
      <c r="H58" s="56">
        <v>45810.0</v>
      </c>
    </row>
    <row r="59" ht="15.75" customHeight="1">
      <c r="A59" s="51">
        <v>12.0</v>
      </c>
      <c r="B59" s="52" t="s">
        <v>97</v>
      </c>
      <c r="C59" s="52" t="s">
        <v>12</v>
      </c>
      <c r="D59" s="53">
        <v>2.0</v>
      </c>
      <c r="E59" s="52" t="s">
        <v>13</v>
      </c>
      <c r="F59" s="54" t="s">
        <v>98</v>
      </c>
      <c r="G59" s="55">
        <v>45810.0</v>
      </c>
      <c r="H59" s="56">
        <v>45810.0</v>
      </c>
    </row>
    <row r="60" ht="15.75" customHeight="1">
      <c r="A60" s="51">
        <v>12.0</v>
      </c>
      <c r="B60" s="52" t="s">
        <v>99</v>
      </c>
      <c r="C60" s="52" t="s">
        <v>12</v>
      </c>
      <c r="D60" s="53">
        <v>2.0</v>
      </c>
      <c r="E60" s="52" t="s">
        <v>13</v>
      </c>
      <c r="F60" s="58" t="s">
        <v>100</v>
      </c>
      <c r="G60" s="55">
        <v>45811.0</v>
      </c>
      <c r="H60" s="56">
        <v>45812.0</v>
      </c>
    </row>
    <row r="61" ht="15.75" customHeight="1">
      <c r="A61" s="3" t="s">
        <v>25</v>
      </c>
      <c r="B61" s="4"/>
      <c r="C61" s="4"/>
      <c r="D61" s="4"/>
      <c r="E61" s="4"/>
      <c r="F61" s="5"/>
      <c r="G61" s="3" t="s">
        <v>2</v>
      </c>
      <c r="H61" s="5"/>
    </row>
    <row r="62" ht="15.75" customHeight="1">
      <c r="A62" s="3" t="s">
        <v>3</v>
      </c>
      <c r="B62" s="4" t="s">
        <v>4</v>
      </c>
      <c r="C62" s="4" t="s">
        <v>5</v>
      </c>
      <c r="D62" s="4" t="s">
        <v>6</v>
      </c>
      <c r="E62" s="4" t="s">
        <v>7</v>
      </c>
      <c r="F62" s="6" t="s">
        <v>8</v>
      </c>
      <c r="G62" s="3" t="s">
        <v>9</v>
      </c>
      <c r="H62" s="5" t="s">
        <v>10</v>
      </c>
    </row>
    <row r="63" ht="15.75" customHeight="1">
      <c r="A63" s="59">
        <v>16.0</v>
      </c>
      <c r="B63" s="60" t="s">
        <v>101</v>
      </c>
      <c r="C63" s="60" t="s">
        <v>12</v>
      </c>
      <c r="D63" s="61">
        <v>1.0</v>
      </c>
      <c r="E63" s="60" t="s">
        <v>13</v>
      </c>
      <c r="F63" s="62" t="s">
        <v>102</v>
      </c>
      <c r="G63" s="63">
        <v>45813.0</v>
      </c>
      <c r="H63" s="64">
        <v>45814.0</v>
      </c>
    </row>
    <row r="64" ht="15.75" customHeight="1">
      <c r="A64" s="59">
        <v>16.0</v>
      </c>
      <c r="B64" s="60" t="s">
        <v>103</v>
      </c>
      <c r="C64" s="60" t="s">
        <v>12</v>
      </c>
      <c r="D64" s="61">
        <v>2.0</v>
      </c>
      <c r="E64" s="60" t="s">
        <v>13</v>
      </c>
      <c r="F64" s="62" t="s">
        <v>104</v>
      </c>
      <c r="G64" s="63">
        <v>45813.0</v>
      </c>
      <c r="H64" s="64">
        <v>45814.0</v>
      </c>
    </row>
    <row r="65" ht="15.75" customHeight="1">
      <c r="A65" s="59">
        <v>16.0</v>
      </c>
      <c r="B65" s="60" t="s">
        <v>105</v>
      </c>
      <c r="C65" s="60" t="s">
        <v>12</v>
      </c>
      <c r="D65" s="61">
        <v>2.0</v>
      </c>
      <c r="E65" s="60" t="s">
        <v>13</v>
      </c>
      <c r="F65" s="62" t="s">
        <v>106</v>
      </c>
      <c r="G65" s="63">
        <v>45815.0</v>
      </c>
      <c r="H65" s="64">
        <v>45816.0</v>
      </c>
    </row>
    <row r="66" ht="15.75" customHeight="1">
      <c r="A66" s="3" t="s">
        <v>25</v>
      </c>
      <c r="B66" s="4"/>
      <c r="C66" s="4"/>
      <c r="D66" s="4"/>
      <c r="E66" s="4"/>
      <c r="F66" s="5"/>
      <c r="G66" s="3" t="s">
        <v>2</v>
      </c>
      <c r="H66" s="5"/>
    </row>
    <row r="67" ht="15.75" customHeight="1">
      <c r="A67" s="3" t="s">
        <v>3</v>
      </c>
      <c r="B67" s="4" t="s">
        <v>4</v>
      </c>
      <c r="C67" s="4" t="s">
        <v>5</v>
      </c>
      <c r="D67" s="4" t="s">
        <v>6</v>
      </c>
      <c r="E67" s="4" t="s">
        <v>7</v>
      </c>
      <c r="F67" s="6" t="s">
        <v>8</v>
      </c>
      <c r="G67" s="3" t="s">
        <v>9</v>
      </c>
      <c r="H67" s="5" t="s">
        <v>10</v>
      </c>
    </row>
    <row r="68" ht="15.75" customHeight="1">
      <c r="A68" s="10">
        <v>20.0</v>
      </c>
      <c r="B68" s="8" t="s">
        <v>107</v>
      </c>
      <c r="C68" s="9" t="s">
        <v>12</v>
      </c>
      <c r="D68" s="10">
        <v>2.0</v>
      </c>
      <c r="E68" s="9" t="s">
        <v>13</v>
      </c>
      <c r="F68" s="11" t="s">
        <v>108</v>
      </c>
      <c r="G68" s="12">
        <v>45816.0</v>
      </c>
      <c r="H68" s="13">
        <v>45817.0</v>
      </c>
    </row>
    <row r="69" ht="15.75" customHeight="1">
      <c r="A69" s="10">
        <v>20.0</v>
      </c>
      <c r="B69" s="8" t="s">
        <v>109</v>
      </c>
      <c r="C69" s="9" t="s">
        <v>12</v>
      </c>
      <c r="D69" s="10">
        <v>2.0</v>
      </c>
      <c r="E69" s="9" t="s">
        <v>13</v>
      </c>
      <c r="F69" s="11" t="s">
        <v>110</v>
      </c>
      <c r="G69" s="12">
        <v>45816.0</v>
      </c>
      <c r="H69" s="13">
        <v>45817.0</v>
      </c>
    </row>
    <row r="70" ht="15.75" customHeight="1">
      <c r="A70" s="10">
        <v>20.0</v>
      </c>
      <c r="B70" s="8" t="s">
        <v>111</v>
      </c>
      <c r="C70" s="9" t="s">
        <v>12</v>
      </c>
      <c r="D70" s="10">
        <v>2.0</v>
      </c>
      <c r="E70" s="9" t="s">
        <v>13</v>
      </c>
      <c r="F70" s="11" t="s">
        <v>112</v>
      </c>
      <c r="G70" s="12">
        <v>45816.0</v>
      </c>
      <c r="H70" s="13">
        <v>45817.0</v>
      </c>
    </row>
    <row r="71" ht="15.75" customHeight="1">
      <c r="A71" s="3" t="s">
        <v>25</v>
      </c>
      <c r="B71" s="4"/>
      <c r="C71" s="4"/>
      <c r="D71" s="4"/>
      <c r="E71" s="4"/>
      <c r="F71" s="5"/>
      <c r="G71" s="3" t="s">
        <v>2</v>
      </c>
      <c r="H71" s="5"/>
    </row>
    <row r="72" ht="15.75" customHeight="1">
      <c r="A72" s="3" t="s">
        <v>3</v>
      </c>
      <c r="B72" s="4" t="s">
        <v>4</v>
      </c>
      <c r="C72" s="4" t="s">
        <v>5</v>
      </c>
      <c r="D72" s="4" t="s">
        <v>6</v>
      </c>
      <c r="E72" s="4" t="s">
        <v>7</v>
      </c>
      <c r="F72" s="6" t="s">
        <v>8</v>
      </c>
      <c r="G72" s="3" t="s">
        <v>9</v>
      </c>
      <c r="H72" s="5" t="s">
        <v>10</v>
      </c>
    </row>
    <row r="73" ht="15.75" customHeight="1">
      <c r="A73" s="15">
        <v>22.0</v>
      </c>
      <c r="B73" s="16" t="s">
        <v>113</v>
      </c>
      <c r="C73" s="16" t="s">
        <v>12</v>
      </c>
      <c r="D73" s="17">
        <v>2.0</v>
      </c>
      <c r="E73" s="16" t="s">
        <v>13</v>
      </c>
      <c r="F73" s="18" t="s">
        <v>114</v>
      </c>
      <c r="G73" s="19">
        <v>45818.0</v>
      </c>
      <c r="H73" s="20">
        <v>45818.0</v>
      </c>
    </row>
    <row r="74" ht="15.75" customHeight="1">
      <c r="A74" s="15">
        <v>22.0</v>
      </c>
      <c r="B74" s="16" t="s">
        <v>115</v>
      </c>
      <c r="C74" s="16" t="s">
        <v>12</v>
      </c>
      <c r="D74" s="17">
        <v>2.0</v>
      </c>
      <c r="E74" s="16" t="s">
        <v>13</v>
      </c>
      <c r="F74" s="18" t="s">
        <v>116</v>
      </c>
      <c r="G74" s="19">
        <v>45819.0</v>
      </c>
      <c r="H74" s="20">
        <v>45819.0</v>
      </c>
    </row>
    <row r="75" ht="15.75" customHeight="1">
      <c r="A75" s="15">
        <v>22.0</v>
      </c>
      <c r="B75" s="16" t="s">
        <v>117</v>
      </c>
      <c r="C75" s="16" t="s">
        <v>12</v>
      </c>
      <c r="D75" s="17">
        <v>2.0</v>
      </c>
      <c r="E75" s="16" t="s">
        <v>13</v>
      </c>
      <c r="F75" s="18" t="s">
        <v>118</v>
      </c>
      <c r="G75" s="19">
        <v>45819.0</v>
      </c>
      <c r="H75" s="20">
        <v>45819.0</v>
      </c>
    </row>
    <row r="76" ht="15.75" customHeight="1">
      <c r="A76" s="15">
        <v>22.0</v>
      </c>
      <c r="B76" s="16" t="s">
        <v>119</v>
      </c>
      <c r="C76" s="16" t="s">
        <v>12</v>
      </c>
      <c r="D76" s="17">
        <v>2.0</v>
      </c>
      <c r="E76" s="16" t="s">
        <v>13</v>
      </c>
      <c r="F76" s="18" t="s">
        <v>120</v>
      </c>
      <c r="G76" s="19">
        <v>45820.0</v>
      </c>
      <c r="H76" s="20">
        <v>45820.0</v>
      </c>
    </row>
    <row r="77" ht="15.75" customHeight="1">
      <c r="A77" s="15">
        <v>22.0</v>
      </c>
      <c r="B77" s="16" t="s">
        <v>121</v>
      </c>
      <c r="C77" s="16" t="s">
        <v>12</v>
      </c>
      <c r="D77" s="17">
        <v>2.0</v>
      </c>
      <c r="E77" s="16" t="s">
        <v>13</v>
      </c>
      <c r="F77" s="21" t="s">
        <v>122</v>
      </c>
      <c r="G77" s="19">
        <v>45820.0</v>
      </c>
      <c r="H77" s="20">
        <v>45820.0</v>
      </c>
    </row>
    <row r="78" ht="15.75" customHeight="1">
      <c r="A78" s="3" t="s">
        <v>25</v>
      </c>
      <c r="B78" s="4"/>
      <c r="C78" s="4"/>
      <c r="D78" s="4"/>
      <c r="E78" s="4"/>
      <c r="F78" s="5"/>
      <c r="G78" s="3" t="s">
        <v>2</v>
      </c>
      <c r="H78" s="5"/>
    </row>
    <row r="79" ht="15.75" customHeight="1">
      <c r="A79" s="3" t="s">
        <v>3</v>
      </c>
      <c r="B79" s="4" t="s">
        <v>4</v>
      </c>
      <c r="C79" s="4" t="s">
        <v>5</v>
      </c>
      <c r="D79" s="4" t="s">
        <v>6</v>
      </c>
      <c r="E79" s="4" t="s">
        <v>7</v>
      </c>
      <c r="F79" s="6" t="s">
        <v>8</v>
      </c>
      <c r="G79" s="3" t="s">
        <v>9</v>
      </c>
      <c r="H79" s="5" t="s">
        <v>10</v>
      </c>
    </row>
    <row r="80" ht="15.75" customHeight="1">
      <c r="A80" s="65">
        <v>52.0</v>
      </c>
      <c r="B80" s="66" t="s">
        <v>123</v>
      </c>
      <c r="C80" s="66" t="s">
        <v>12</v>
      </c>
      <c r="D80" s="67">
        <v>1.0</v>
      </c>
      <c r="E80" s="66" t="s">
        <v>13</v>
      </c>
      <c r="F80" s="68" t="s">
        <v>124</v>
      </c>
      <c r="G80" s="69">
        <v>45821.0</v>
      </c>
      <c r="H80" s="70">
        <v>45822.0</v>
      </c>
    </row>
    <row r="81" ht="15.75" customHeight="1">
      <c r="A81" s="65">
        <v>52.0</v>
      </c>
      <c r="B81" s="66" t="s">
        <v>125</v>
      </c>
      <c r="C81" s="66" t="s">
        <v>12</v>
      </c>
      <c r="D81" s="67">
        <v>1.0</v>
      </c>
      <c r="E81" s="66" t="s">
        <v>13</v>
      </c>
      <c r="F81" s="68" t="s">
        <v>126</v>
      </c>
      <c r="G81" s="69">
        <v>45821.0</v>
      </c>
      <c r="H81" s="70">
        <v>45822.0</v>
      </c>
    </row>
    <row r="82" ht="15.75" customHeight="1">
      <c r="A82" s="65">
        <v>52.0</v>
      </c>
      <c r="B82" s="66" t="s">
        <v>127</v>
      </c>
      <c r="C82" s="66" t="s">
        <v>12</v>
      </c>
      <c r="D82" s="67">
        <v>1.0</v>
      </c>
      <c r="E82" s="66" t="s">
        <v>13</v>
      </c>
      <c r="F82" s="68" t="s">
        <v>128</v>
      </c>
      <c r="G82" s="69">
        <v>45821.0</v>
      </c>
      <c r="H82" s="70">
        <v>45822.0</v>
      </c>
    </row>
    <row r="83" ht="15.75" customHeight="1">
      <c r="A83" s="65">
        <v>52.0</v>
      </c>
      <c r="B83" s="66" t="s">
        <v>129</v>
      </c>
      <c r="C83" s="66" t="s">
        <v>12</v>
      </c>
      <c r="D83" s="67">
        <v>1.0</v>
      </c>
      <c r="E83" s="66" t="s">
        <v>13</v>
      </c>
      <c r="F83" s="68" t="s">
        <v>130</v>
      </c>
      <c r="G83" s="69">
        <v>45822.0</v>
      </c>
      <c r="H83" s="70">
        <v>45822.0</v>
      </c>
    </row>
    <row r="84" ht="15.75" customHeight="1">
      <c r="A84" s="1" t="s">
        <v>131</v>
      </c>
      <c r="B84" s="2"/>
      <c r="C84" s="2"/>
      <c r="D84" s="2"/>
      <c r="E84" s="2"/>
      <c r="F84" s="2"/>
      <c r="G84" s="71"/>
      <c r="H84" s="2"/>
    </row>
    <row r="85" ht="15.75" customHeight="1">
      <c r="A85" s="3" t="s">
        <v>25</v>
      </c>
      <c r="B85" s="4"/>
      <c r="C85" s="4"/>
      <c r="D85" s="4"/>
      <c r="E85" s="4"/>
      <c r="F85" s="5"/>
      <c r="G85" s="3" t="s">
        <v>2</v>
      </c>
      <c r="H85" s="5"/>
    </row>
    <row r="86" ht="15.75" customHeight="1">
      <c r="A86" s="3" t="s">
        <v>3</v>
      </c>
      <c r="B86" s="4" t="s">
        <v>4</v>
      </c>
      <c r="C86" s="4" t="s">
        <v>5</v>
      </c>
      <c r="D86" s="4" t="s">
        <v>6</v>
      </c>
      <c r="E86" s="4" t="s">
        <v>7</v>
      </c>
      <c r="F86" s="6" t="s">
        <v>8</v>
      </c>
      <c r="G86" s="3" t="s">
        <v>9</v>
      </c>
      <c r="H86" s="5" t="s">
        <v>10</v>
      </c>
    </row>
    <row r="87" ht="15.75" customHeight="1">
      <c r="A87" s="72" t="s">
        <v>132</v>
      </c>
      <c r="B87" s="8" t="s">
        <v>133</v>
      </c>
      <c r="C87" s="9" t="s">
        <v>134</v>
      </c>
      <c r="D87" s="9">
        <v>6.0</v>
      </c>
      <c r="E87" s="9" t="s">
        <v>63</v>
      </c>
      <c r="F87" s="11" t="s">
        <v>135</v>
      </c>
      <c r="G87" s="12">
        <v>45901.0</v>
      </c>
      <c r="H87" s="73">
        <v>45908.0</v>
      </c>
      <c r="J87" s="74"/>
    </row>
    <row r="88" ht="15.75" customHeight="1">
      <c r="A88" s="7">
        <v>6.0</v>
      </c>
      <c r="B88" s="8" t="s">
        <v>136</v>
      </c>
      <c r="C88" s="9" t="s">
        <v>12</v>
      </c>
      <c r="D88" s="9">
        <v>3.0</v>
      </c>
      <c r="E88" s="9" t="s">
        <v>63</v>
      </c>
      <c r="F88" s="11" t="s">
        <v>137</v>
      </c>
      <c r="G88" s="12">
        <v>45905.0</v>
      </c>
      <c r="H88" s="73">
        <v>45912.0</v>
      </c>
      <c r="J88" s="74"/>
    </row>
    <row r="89" ht="15.75" customHeight="1">
      <c r="A89" s="7">
        <v>6.0</v>
      </c>
      <c r="B89" s="8" t="s">
        <v>138</v>
      </c>
      <c r="C89" s="9" t="s">
        <v>12</v>
      </c>
      <c r="D89" s="9">
        <v>4.0</v>
      </c>
      <c r="E89" s="9" t="s">
        <v>63</v>
      </c>
      <c r="F89" s="11" t="s">
        <v>139</v>
      </c>
      <c r="G89" s="12">
        <v>45905.0</v>
      </c>
      <c r="H89" s="73">
        <v>45916.0</v>
      </c>
      <c r="J89" s="74"/>
    </row>
    <row r="90" ht="15.75" customHeight="1">
      <c r="A90" s="7">
        <v>6.0</v>
      </c>
      <c r="B90" s="8" t="s">
        <v>140</v>
      </c>
      <c r="C90" s="9" t="s">
        <v>12</v>
      </c>
      <c r="D90" s="9">
        <v>1.0</v>
      </c>
      <c r="E90" s="9" t="s">
        <v>63</v>
      </c>
      <c r="F90" s="11" t="s">
        <v>141</v>
      </c>
      <c r="G90" s="12">
        <v>45905.0</v>
      </c>
      <c r="H90" s="73">
        <v>45916.0</v>
      </c>
      <c r="J90" s="74"/>
    </row>
    <row r="91" ht="15.75" customHeight="1">
      <c r="A91" s="7">
        <v>6.0</v>
      </c>
      <c r="B91" s="8" t="s">
        <v>142</v>
      </c>
      <c r="C91" s="9" t="s">
        <v>12</v>
      </c>
      <c r="D91" s="9">
        <v>1.0</v>
      </c>
      <c r="E91" s="9" t="s">
        <v>63</v>
      </c>
      <c r="F91" s="11" t="s">
        <v>143</v>
      </c>
      <c r="G91" s="12">
        <v>45905.0</v>
      </c>
      <c r="H91" s="75">
        <v>45916.0</v>
      </c>
      <c r="J91" s="74"/>
    </row>
    <row r="92" ht="15.75" customHeight="1">
      <c r="A92" s="3" t="s">
        <v>25</v>
      </c>
      <c r="B92" s="4"/>
      <c r="C92" s="4"/>
      <c r="D92" s="4"/>
      <c r="E92" s="4"/>
      <c r="F92" s="5"/>
      <c r="G92" s="3" t="s">
        <v>2</v>
      </c>
      <c r="H92" s="5"/>
      <c r="J92" s="74"/>
    </row>
    <row r="93" ht="15.75" customHeight="1">
      <c r="A93" s="3" t="s">
        <v>3</v>
      </c>
      <c r="B93" s="4" t="s">
        <v>4</v>
      </c>
      <c r="C93" s="4" t="s">
        <v>5</v>
      </c>
      <c r="D93" s="4" t="s">
        <v>6</v>
      </c>
      <c r="E93" s="4" t="s">
        <v>7</v>
      </c>
      <c r="F93" s="6" t="s">
        <v>8</v>
      </c>
      <c r="G93" s="3" t="s">
        <v>9</v>
      </c>
      <c r="H93" s="5" t="s">
        <v>10</v>
      </c>
      <c r="J93" s="74"/>
    </row>
    <row r="94" ht="15.75" customHeight="1">
      <c r="A94" s="76" t="s">
        <v>144</v>
      </c>
      <c r="B94" s="16" t="s">
        <v>133</v>
      </c>
      <c r="C94" s="16" t="s">
        <v>145</v>
      </c>
      <c r="D94" s="16">
        <v>6.0</v>
      </c>
      <c r="E94" s="16" t="s">
        <v>63</v>
      </c>
      <c r="F94" s="18" t="s">
        <v>146</v>
      </c>
      <c r="G94" s="19">
        <v>45901.0</v>
      </c>
      <c r="H94" s="77">
        <v>45908.0</v>
      </c>
      <c r="J94" s="74"/>
    </row>
    <row r="95" ht="15.75" customHeight="1">
      <c r="A95" s="15">
        <v>7.0</v>
      </c>
      <c r="B95" s="16" t="s">
        <v>136</v>
      </c>
      <c r="C95" s="16" t="s">
        <v>12</v>
      </c>
      <c r="D95" s="16">
        <v>2.0</v>
      </c>
      <c r="E95" s="16" t="s">
        <v>63</v>
      </c>
      <c r="F95" s="18" t="s">
        <v>147</v>
      </c>
      <c r="G95" s="19">
        <v>45903.0</v>
      </c>
      <c r="H95" s="77">
        <v>45914.0</v>
      </c>
      <c r="J95" s="74"/>
    </row>
    <row r="96" ht="15.75" customHeight="1">
      <c r="A96" s="15">
        <v>7.0</v>
      </c>
      <c r="B96" s="16" t="s">
        <v>138</v>
      </c>
      <c r="C96" s="16" t="s">
        <v>12</v>
      </c>
      <c r="D96" s="16">
        <v>3.0</v>
      </c>
      <c r="E96" s="16" t="s">
        <v>63</v>
      </c>
      <c r="F96" s="18" t="s">
        <v>148</v>
      </c>
      <c r="G96" s="19">
        <v>45905.0</v>
      </c>
      <c r="H96" s="77">
        <v>45919.0</v>
      </c>
      <c r="J96" s="74"/>
    </row>
    <row r="97" ht="15.75" customHeight="1">
      <c r="A97" s="15">
        <v>7.0</v>
      </c>
      <c r="B97" s="16" t="s">
        <v>149</v>
      </c>
      <c r="C97" s="16" t="s">
        <v>12</v>
      </c>
      <c r="D97" s="16">
        <v>1.0</v>
      </c>
      <c r="E97" s="16" t="s">
        <v>63</v>
      </c>
      <c r="F97" s="18" t="s">
        <v>150</v>
      </c>
      <c r="G97" s="19">
        <v>45905.0</v>
      </c>
      <c r="H97" s="77">
        <v>45917.0</v>
      </c>
      <c r="J97" s="74"/>
    </row>
    <row r="98" ht="15.75" customHeight="1">
      <c r="A98" s="15">
        <v>7.0</v>
      </c>
      <c r="B98" s="16" t="s">
        <v>151</v>
      </c>
      <c r="C98" s="16" t="s">
        <v>12</v>
      </c>
      <c r="D98" s="16">
        <v>3.0</v>
      </c>
      <c r="E98" s="16" t="s">
        <v>63</v>
      </c>
      <c r="F98" s="21" t="s">
        <v>152</v>
      </c>
      <c r="G98" s="19">
        <v>45905.0</v>
      </c>
      <c r="H98" s="77">
        <v>45921.0</v>
      </c>
      <c r="J98" s="74"/>
    </row>
    <row r="99" ht="15.75" customHeight="1">
      <c r="A99" s="3" t="s">
        <v>25</v>
      </c>
      <c r="B99" s="4"/>
      <c r="C99" s="4"/>
      <c r="D99" s="4"/>
      <c r="E99" s="4"/>
      <c r="F99" s="5"/>
      <c r="G99" s="3" t="s">
        <v>2</v>
      </c>
      <c r="H99" s="5"/>
      <c r="J99" s="74"/>
    </row>
    <row r="100" ht="15.75" customHeight="1">
      <c r="A100" s="3" t="s">
        <v>3</v>
      </c>
      <c r="B100" s="4" t="s">
        <v>4</v>
      </c>
      <c r="C100" s="4" t="s">
        <v>5</v>
      </c>
      <c r="D100" s="4" t="s">
        <v>6</v>
      </c>
      <c r="E100" s="4" t="s">
        <v>7</v>
      </c>
      <c r="F100" s="6" t="s">
        <v>8</v>
      </c>
      <c r="G100" s="3" t="s">
        <v>9</v>
      </c>
      <c r="H100" s="5" t="s">
        <v>10</v>
      </c>
      <c r="J100" s="74"/>
    </row>
    <row r="101" ht="15.75" customHeight="1">
      <c r="A101" s="78" t="s">
        <v>153</v>
      </c>
      <c r="B101" s="23" t="s">
        <v>133</v>
      </c>
      <c r="C101" s="23" t="s">
        <v>145</v>
      </c>
      <c r="D101" s="23">
        <v>6.0</v>
      </c>
      <c r="E101" s="23" t="s">
        <v>63</v>
      </c>
      <c r="F101" s="25" t="s">
        <v>154</v>
      </c>
      <c r="G101" s="26">
        <v>45901.0</v>
      </c>
      <c r="H101" s="79">
        <v>45908.0</v>
      </c>
      <c r="J101" s="74"/>
    </row>
    <row r="102" ht="15.75" customHeight="1">
      <c r="A102" s="22">
        <v>8.0</v>
      </c>
      <c r="B102" s="23" t="s">
        <v>155</v>
      </c>
      <c r="C102" s="23" t="s">
        <v>12</v>
      </c>
      <c r="D102" s="23">
        <v>4.0</v>
      </c>
      <c r="E102" s="23" t="s">
        <v>63</v>
      </c>
      <c r="F102" s="25" t="s">
        <v>156</v>
      </c>
      <c r="G102" s="26">
        <v>45903.0</v>
      </c>
      <c r="H102" s="79">
        <v>45912.0</v>
      </c>
      <c r="J102" s="74"/>
    </row>
    <row r="103" ht="15.75" customHeight="1">
      <c r="A103" s="22">
        <v>8.0</v>
      </c>
      <c r="B103" s="23" t="s">
        <v>157</v>
      </c>
      <c r="C103" s="23" t="s">
        <v>12</v>
      </c>
      <c r="D103" s="23">
        <v>2.0</v>
      </c>
      <c r="E103" s="23" t="s">
        <v>63</v>
      </c>
      <c r="F103" s="25" t="s">
        <v>158</v>
      </c>
      <c r="G103" s="26">
        <v>45905.0</v>
      </c>
      <c r="H103" s="79">
        <v>45914.0</v>
      </c>
      <c r="J103" s="74"/>
    </row>
    <row r="104" ht="15.75" customHeight="1">
      <c r="A104" s="22">
        <v>8.0</v>
      </c>
      <c r="B104" s="23" t="s">
        <v>159</v>
      </c>
      <c r="C104" s="23" t="s">
        <v>12</v>
      </c>
      <c r="D104" s="23">
        <v>3.0</v>
      </c>
      <c r="E104" s="23" t="s">
        <v>63</v>
      </c>
      <c r="F104" s="25" t="s">
        <v>160</v>
      </c>
      <c r="G104" s="26">
        <v>45905.0</v>
      </c>
      <c r="H104" s="79">
        <v>45914.0</v>
      </c>
      <c r="J104" s="74"/>
    </row>
    <row r="105" ht="15.75" customHeight="1">
      <c r="A105" s="22">
        <v>8.0</v>
      </c>
      <c r="B105" s="23" t="s">
        <v>161</v>
      </c>
      <c r="C105" s="23" t="s">
        <v>12</v>
      </c>
      <c r="D105" s="23">
        <v>4.0</v>
      </c>
      <c r="E105" s="23" t="s">
        <v>63</v>
      </c>
      <c r="F105" s="25" t="s">
        <v>162</v>
      </c>
      <c r="G105" s="26">
        <v>45905.0</v>
      </c>
      <c r="H105" s="79">
        <v>45917.0</v>
      </c>
      <c r="J105" s="74"/>
    </row>
    <row r="106" ht="15.75" customHeight="1">
      <c r="A106" s="3" t="s">
        <v>25</v>
      </c>
      <c r="B106" s="4"/>
      <c r="C106" s="4"/>
      <c r="D106" s="4"/>
      <c r="E106" s="4"/>
      <c r="F106" s="5"/>
      <c r="G106" s="3" t="s">
        <v>2</v>
      </c>
      <c r="H106" s="5"/>
      <c r="J106" s="74"/>
    </row>
    <row r="107" ht="15.75" customHeight="1">
      <c r="A107" s="3" t="s">
        <v>3</v>
      </c>
      <c r="B107" s="4" t="s">
        <v>4</v>
      </c>
      <c r="C107" s="4" t="s">
        <v>5</v>
      </c>
      <c r="D107" s="4" t="s">
        <v>6</v>
      </c>
      <c r="E107" s="4" t="s">
        <v>7</v>
      </c>
      <c r="F107" s="6" t="s">
        <v>8</v>
      </c>
      <c r="G107" s="3" t="s">
        <v>9</v>
      </c>
      <c r="H107" s="5" t="s">
        <v>10</v>
      </c>
      <c r="J107" s="74"/>
    </row>
    <row r="108" ht="15.75" customHeight="1">
      <c r="A108" s="80" t="s">
        <v>163</v>
      </c>
      <c r="B108" s="29" t="s">
        <v>133</v>
      </c>
      <c r="C108" s="29" t="s">
        <v>145</v>
      </c>
      <c r="D108" s="29">
        <v>5.0</v>
      </c>
      <c r="E108" s="29" t="s">
        <v>63</v>
      </c>
      <c r="F108" s="31" t="s">
        <v>164</v>
      </c>
      <c r="G108" s="32">
        <v>45901.0</v>
      </c>
      <c r="H108" s="81">
        <v>45908.0</v>
      </c>
      <c r="J108" s="74"/>
    </row>
    <row r="109" ht="15.75" customHeight="1">
      <c r="A109" s="28">
        <v>9.0</v>
      </c>
      <c r="B109" s="29" t="s">
        <v>165</v>
      </c>
      <c r="C109" s="29" t="s">
        <v>12</v>
      </c>
      <c r="D109" s="29">
        <v>3.0</v>
      </c>
      <c r="E109" s="29" t="s">
        <v>63</v>
      </c>
      <c r="F109" s="31" t="s">
        <v>166</v>
      </c>
      <c r="G109" s="32">
        <v>45903.0</v>
      </c>
      <c r="H109" s="81">
        <v>45912.0</v>
      </c>
      <c r="J109" s="74"/>
    </row>
    <row r="110" ht="15.75" customHeight="1">
      <c r="A110" s="28">
        <v>9.0</v>
      </c>
      <c r="B110" s="29" t="s">
        <v>167</v>
      </c>
      <c r="C110" s="29" t="s">
        <v>12</v>
      </c>
      <c r="D110" s="29">
        <v>3.0</v>
      </c>
      <c r="E110" s="29" t="s">
        <v>63</v>
      </c>
      <c r="F110" s="31" t="s">
        <v>168</v>
      </c>
      <c r="G110" s="32">
        <v>45905.0</v>
      </c>
      <c r="H110" s="81">
        <v>45912.0</v>
      </c>
      <c r="J110" s="74"/>
    </row>
    <row r="111" ht="15.75" customHeight="1">
      <c r="A111" s="28">
        <v>9.0</v>
      </c>
      <c r="B111" s="29" t="s">
        <v>169</v>
      </c>
      <c r="C111" s="29" t="s">
        <v>12</v>
      </c>
      <c r="D111" s="29">
        <v>4.0</v>
      </c>
      <c r="E111" s="29" t="s">
        <v>63</v>
      </c>
      <c r="F111" s="31" t="s">
        <v>170</v>
      </c>
      <c r="G111" s="32">
        <v>45905.0</v>
      </c>
      <c r="H111" s="81">
        <v>45915.0</v>
      </c>
      <c r="J111" s="74"/>
    </row>
    <row r="112" ht="15.75" customHeight="1">
      <c r="A112" s="28">
        <v>9.0</v>
      </c>
      <c r="B112" s="29" t="s">
        <v>171</v>
      </c>
      <c r="C112" s="29" t="s">
        <v>12</v>
      </c>
      <c r="D112" s="29">
        <v>2.0</v>
      </c>
      <c r="E112" s="29" t="s">
        <v>63</v>
      </c>
      <c r="F112" s="34" t="s">
        <v>172</v>
      </c>
      <c r="G112" s="32">
        <v>45905.0</v>
      </c>
      <c r="H112" s="81">
        <v>45919.0</v>
      </c>
      <c r="J112" s="74"/>
    </row>
    <row r="113" ht="15.75" customHeight="1">
      <c r="A113" s="3" t="s">
        <v>25</v>
      </c>
      <c r="B113" s="4"/>
      <c r="C113" s="4"/>
      <c r="D113" s="4"/>
      <c r="E113" s="4"/>
      <c r="F113" s="5"/>
      <c r="G113" s="3" t="s">
        <v>2</v>
      </c>
      <c r="H113" s="5"/>
      <c r="J113" s="74"/>
    </row>
    <row r="114" ht="15.75" customHeight="1">
      <c r="A114" s="3" t="s">
        <v>3</v>
      </c>
      <c r="B114" s="4" t="s">
        <v>4</v>
      </c>
      <c r="C114" s="4" t="s">
        <v>5</v>
      </c>
      <c r="D114" s="4" t="s">
        <v>6</v>
      </c>
      <c r="E114" s="4" t="s">
        <v>7</v>
      </c>
      <c r="F114" s="6" t="s">
        <v>8</v>
      </c>
      <c r="G114" s="3" t="s">
        <v>9</v>
      </c>
      <c r="H114" s="5" t="s">
        <v>10</v>
      </c>
      <c r="J114" s="74"/>
    </row>
    <row r="115" ht="15.75" customHeight="1">
      <c r="A115" s="82" t="s">
        <v>173</v>
      </c>
      <c r="B115" s="36" t="s">
        <v>133</v>
      </c>
      <c r="C115" s="36" t="s">
        <v>134</v>
      </c>
      <c r="D115" s="36">
        <v>9.0</v>
      </c>
      <c r="E115" s="36" t="s">
        <v>63</v>
      </c>
      <c r="F115" s="38" t="s">
        <v>174</v>
      </c>
      <c r="G115" s="39">
        <v>45901.0</v>
      </c>
      <c r="H115" s="83">
        <v>45908.0</v>
      </c>
      <c r="J115" s="74"/>
    </row>
    <row r="116" ht="15.75" customHeight="1">
      <c r="A116" s="41">
        <v>10.0</v>
      </c>
      <c r="B116" s="36" t="s">
        <v>175</v>
      </c>
      <c r="C116" s="36" t="s">
        <v>12</v>
      </c>
      <c r="D116" s="36">
        <v>4.0</v>
      </c>
      <c r="E116" s="36" t="s">
        <v>63</v>
      </c>
      <c r="F116" s="38" t="s">
        <v>176</v>
      </c>
      <c r="G116" s="39">
        <v>45903.0</v>
      </c>
      <c r="H116" s="83">
        <v>45919.0</v>
      </c>
      <c r="J116" s="74"/>
    </row>
    <row r="117" ht="15.75" customHeight="1">
      <c r="A117" s="41">
        <v>10.0</v>
      </c>
      <c r="B117" s="36" t="s">
        <v>177</v>
      </c>
      <c r="C117" s="36" t="s">
        <v>12</v>
      </c>
      <c r="D117" s="36">
        <v>3.0</v>
      </c>
      <c r="E117" s="36" t="s">
        <v>63</v>
      </c>
      <c r="F117" s="38" t="s">
        <v>178</v>
      </c>
      <c r="G117" s="39">
        <v>45905.0</v>
      </c>
      <c r="H117" s="83">
        <v>45926.0</v>
      </c>
      <c r="J117" s="74"/>
    </row>
    <row r="118" ht="15.75" customHeight="1">
      <c r="A118" s="41">
        <v>10.0</v>
      </c>
      <c r="B118" s="36" t="s">
        <v>179</v>
      </c>
      <c r="C118" s="36" t="s">
        <v>12</v>
      </c>
      <c r="D118" s="36">
        <v>2.0</v>
      </c>
      <c r="E118" s="36" t="s">
        <v>63</v>
      </c>
      <c r="F118" s="38" t="s">
        <v>180</v>
      </c>
      <c r="G118" s="39">
        <v>45905.0</v>
      </c>
      <c r="H118" s="83">
        <v>45926.0</v>
      </c>
      <c r="J118" s="74"/>
    </row>
    <row r="119" ht="15.75" customHeight="1">
      <c r="A119" s="84">
        <v>10.0</v>
      </c>
      <c r="B119" s="36" t="s">
        <v>181</v>
      </c>
      <c r="C119" s="36" t="s">
        <v>12</v>
      </c>
      <c r="D119" s="36">
        <v>3.0</v>
      </c>
      <c r="E119" s="36" t="s">
        <v>63</v>
      </c>
      <c r="F119" s="85" t="s">
        <v>182</v>
      </c>
      <c r="G119" s="39">
        <v>45905.0</v>
      </c>
      <c r="H119" s="83">
        <v>45926.0</v>
      </c>
      <c r="J119" s="74"/>
    </row>
    <row r="120" ht="15.75" customHeight="1">
      <c r="A120" s="3" t="s">
        <v>25</v>
      </c>
      <c r="B120" s="4"/>
      <c r="C120" s="4"/>
      <c r="D120" s="4"/>
      <c r="E120" s="4"/>
      <c r="F120" s="5"/>
      <c r="G120" s="3" t="s">
        <v>2</v>
      </c>
      <c r="H120" s="5"/>
      <c r="J120" s="74"/>
    </row>
    <row r="121" ht="15.75" customHeight="1">
      <c r="A121" s="3" t="s">
        <v>3</v>
      </c>
      <c r="B121" s="4" t="s">
        <v>4</v>
      </c>
      <c r="C121" s="4" t="s">
        <v>5</v>
      </c>
      <c r="D121" s="4" t="s">
        <v>6</v>
      </c>
      <c r="E121" s="4" t="s">
        <v>7</v>
      </c>
      <c r="F121" s="6" t="s">
        <v>8</v>
      </c>
      <c r="G121" s="3" t="s">
        <v>9</v>
      </c>
      <c r="H121" s="5" t="s">
        <v>10</v>
      </c>
      <c r="J121" s="74"/>
    </row>
    <row r="122" ht="15.75" customHeight="1">
      <c r="A122" s="86" t="s">
        <v>183</v>
      </c>
      <c r="B122" s="43" t="s">
        <v>133</v>
      </c>
      <c r="C122" s="43" t="s">
        <v>134</v>
      </c>
      <c r="D122" s="43">
        <v>8.0</v>
      </c>
      <c r="E122" s="43" t="s">
        <v>63</v>
      </c>
      <c r="F122" s="45" t="s">
        <v>184</v>
      </c>
      <c r="G122" s="46">
        <v>45901.0</v>
      </c>
      <c r="H122" s="87">
        <v>45908.0</v>
      </c>
      <c r="J122" s="74"/>
    </row>
    <row r="123" ht="15.75" customHeight="1">
      <c r="A123" s="48">
        <v>13.0</v>
      </c>
      <c r="B123" s="43" t="s">
        <v>185</v>
      </c>
      <c r="C123" s="43" t="s">
        <v>12</v>
      </c>
      <c r="D123" s="43">
        <v>5.0</v>
      </c>
      <c r="E123" s="43" t="s">
        <v>63</v>
      </c>
      <c r="F123" s="45" t="s">
        <v>186</v>
      </c>
      <c r="G123" s="46">
        <v>45903.0</v>
      </c>
      <c r="H123" s="87">
        <v>45912.0</v>
      </c>
      <c r="J123" s="74"/>
    </row>
    <row r="124" ht="15.75" customHeight="1">
      <c r="A124" s="48">
        <v>13.0</v>
      </c>
      <c r="B124" s="43" t="s">
        <v>187</v>
      </c>
      <c r="C124" s="43" t="s">
        <v>12</v>
      </c>
      <c r="D124" s="43">
        <v>3.0</v>
      </c>
      <c r="E124" s="43" t="s">
        <v>63</v>
      </c>
      <c r="F124" s="45" t="s">
        <v>188</v>
      </c>
      <c r="G124" s="46">
        <v>45905.0</v>
      </c>
      <c r="H124" s="87">
        <v>45919.0</v>
      </c>
      <c r="J124" s="74"/>
    </row>
    <row r="125" ht="15.75" customHeight="1">
      <c r="A125" s="48">
        <v>13.0</v>
      </c>
      <c r="B125" s="43" t="s">
        <v>189</v>
      </c>
      <c r="C125" s="43" t="s">
        <v>12</v>
      </c>
      <c r="D125" s="43">
        <v>3.0</v>
      </c>
      <c r="E125" s="43" t="s">
        <v>63</v>
      </c>
      <c r="F125" s="45" t="s">
        <v>190</v>
      </c>
      <c r="G125" s="46">
        <v>45905.0</v>
      </c>
      <c r="H125" s="87">
        <v>45919.0</v>
      </c>
      <c r="J125" s="74"/>
    </row>
    <row r="126" ht="15.75" customHeight="1">
      <c r="A126" s="49">
        <v>13.0</v>
      </c>
      <c r="B126" s="43" t="s">
        <v>191</v>
      </c>
      <c r="C126" s="43" t="s">
        <v>12</v>
      </c>
      <c r="D126" s="43">
        <v>4.0</v>
      </c>
      <c r="E126" s="43" t="s">
        <v>63</v>
      </c>
      <c r="F126" s="50" t="s">
        <v>192</v>
      </c>
      <c r="G126" s="46">
        <v>45905.0</v>
      </c>
      <c r="H126" s="87">
        <v>45921.0</v>
      </c>
      <c r="J126" s="74"/>
    </row>
    <row r="127" ht="15.75" customHeight="1">
      <c r="A127" s="3" t="s">
        <v>25</v>
      </c>
      <c r="B127" s="4"/>
      <c r="C127" s="4"/>
      <c r="D127" s="4"/>
      <c r="E127" s="4"/>
      <c r="F127" s="5"/>
      <c r="G127" s="3" t="s">
        <v>2</v>
      </c>
      <c r="H127" s="5"/>
      <c r="J127" s="74"/>
    </row>
    <row r="128" ht="15.75" customHeight="1">
      <c r="A128" s="3" t="s">
        <v>3</v>
      </c>
      <c r="B128" s="4" t="s">
        <v>4</v>
      </c>
      <c r="C128" s="4" t="s">
        <v>5</v>
      </c>
      <c r="D128" s="4" t="s">
        <v>6</v>
      </c>
      <c r="E128" s="4" t="s">
        <v>7</v>
      </c>
      <c r="F128" s="6" t="s">
        <v>8</v>
      </c>
      <c r="G128" s="3" t="s">
        <v>9</v>
      </c>
      <c r="H128" s="5" t="s">
        <v>10</v>
      </c>
      <c r="J128" s="74"/>
    </row>
    <row r="129" ht="15.75" customHeight="1">
      <c r="A129" s="88" t="s">
        <v>193</v>
      </c>
      <c r="B129" s="52" t="s">
        <v>194</v>
      </c>
      <c r="C129" s="52" t="s">
        <v>134</v>
      </c>
      <c r="D129" s="52">
        <v>9.0</v>
      </c>
      <c r="E129" s="52" t="s">
        <v>63</v>
      </c>
      <c r="F129" s="54" t="s">
        <v>195</v>
      </c>
      <c r="G129" s="55">
        <v>45901.0</v>
      </c>
      <c r="H129" s="89">
        <v>45908.0</v>
      </c>
      <c r="J129" s="74"/>
    </row>
    <row r="130" ht="15.75" customHeight="1">
      <c r="A130" s="90">
        <v>14.0</v>
      </c>
      <c r="B130" s="52" t="s">
        <v>196</v>
      </c>
      <c r="C130" s="52" t="s">
        <v>12</v>
      </c>
      <c r="D130" s="52">
        <v>7.0</v>
      </c>
      <c r="E130" s="52" t="s">
        <v>63</v>
      </c>
      <c r="F130" s="54" t="s">
        <v>197</v>
      </c>
      <c r="G130" s="55">
        <v>45903.0</v>
      </c>
      <c r="H130" s="89">
        <v>45911.0</v>
      </c>
      <c r="J130" s="74"/>
    </row>
    <row r="131" ht="15.75" customHeight="1">
      <c r="A131" s="51">
        <v>14.0</v>
      </c>
      <c r="B131" s="52" t="s">
        <v>198</v>
      </c>
      <c r="C131" s="52" t="s">
        <v>12</v>
      </c>
      <c r="D131" s="52">
        <v>6.0</v>
      </c>
      <c r="E131" s="52" t="s">
        <v>63</v>
      </c>
      <c r="F131" s="54" t="s">
        <v>199</v>
      </c>
      <c r="G131" s="55">
        <v>45905.0</v>
      </c>
      <c r="H131" s="89">
        <v>45921.0</v>
      </c>
      <c r="J131" s="74"/>
    </row>
    <row r="132" ht="15.75" customHeight="1">
      <c r="A132" s="51">
        <v>14.0</v>
      </c>
      <c r="B132" s="52" t="s">
        <v>200</v>
      </c>
      <c r="C132" s="52" t="s">
        <v>12</v>
      </c>
      <c r="D132" s="52">
        <v>3.0</v>
      </c>
      <c r="E132" s="52" t="s">
        <v>63</v>
      </c>
      <c r="F132" s="54" t="s">
        <v>201</v>
      </c>
      <c r="G132" s="55">
        <v>45905.0</v>
      </c>
      <c r="H132" s="89">
        <v>45921.0</v>
      </c>
      <c r="J132" s="74"/>
    </row>
    <row r="133" ht="15.75" customHeight="1">
      <c r="A133" s="51">
        <v>14.0</v>
      </c>
      <c r="B133" s="52" t="s">
        <v>202</v>
      </c>
      <c r="C133" s="52" t="s">
        <v>12</v>
      </c>
      <c r="D133" s="52">
        <v>2.0</v>
      </c>
      <c r="E133" s="52" t="s">
        <v>63</v>
      </c>
      <c r="F133" s="54" t="s">
        <v>203</v>
      </c>
      <c r="G133" s="55">
        <v>45905.0</v>
      </c>
      <c r="H133" s="89">
        <v>45924.0</v>
      </c>
      <c r="J133" s="74"/>
    </row>
    <row r="134" ht="15.75" customHeight="1">
      <c r="A134" s="51">
        <v>14.0</v>
      </c>
      <c r="B134" s="52" t="s">
        <v>204</v>
      </c>
      <c r="C134" s="52" t="s">
        <v>12</v>
      </c>
      <c r="D134" s="52">
        <v>3.0</v>
      </c>
      <c r="E134" s="52" t="s">
        <v>63</v>
      </c>
      <c r="F134" s="58" t="s">
        <v>205</v>
      </c>
      <c r="G134" s="55">
        <v>45906.0</v>
      </c>
      <c r="H134" s="89">
        <v>45925.0</v>
      </c>
      <c r="J134" s="74"/>
    </row>
    <row r="135" ht="15.75" customHeight="1">
      <c r="A135" s="3" t="s">
        <v>25</v>
      </c>
      <c r="B135" s="4"/>
      <c r="C135" s="4"/>
      <c r="D135" s="4"/>
      <c r="E135" s="4"/>
      <c r="F135" s="5"/>
      <c r="G135" s="3" t="s">
        <v>2</v>
      </c>
      <c r="H135" s="5"/>
      <c r="J135" s="74"/>
    </row>
    <row r="136" ht="15.75" customHeight="1">
      <c r="A136" s="3" t="s">
        <v>3</v>
      </c>
      <c r="B136" s="4" t="s">
        <v>4</v>
      </c>
      <c r="C136" s="4" t="s">
        <v>5</v>
      </c>
      <c r="D136" s="4" t="s">
        <v>6</v>
      </c>
      <c r="E136" s="4" t="s">
        <v>7</v>
      </c>
      <c r="F136" s="6" t="s">
        <v>8</v>
      </c>
      <c r="G136" s="3" t="s">
        <v>9</v>
      </c>
      <c r="H136" s="5" t="s">
        <v>10</v>
      </c>
      <c r="J136" s="74"/>
    </row>
    <row r="137" ht="15.75" customHeight="1">
      <c r="A137" s="91" t="s">
        <v>206</v>
      </c>
      <c r="B137" s="60" t="s">
        <v>133</v>
      </c>
      <c r="C137" s="60" t="s">
        <v>134</v>
      </c>
      <c r="D137" s="60">
        <v>7.0</v>
      </c>
      <c r="E137" s="60" t="s">
        <v>63</v>
      </c>
      <c r="F137" s="62" t="s">
        <v>207</v>
      </c>
      <c r="G137" s="63">
        <v>45901.0</v>
      </c>
      <c r="H137" s="92">
        <v>45908.0</v>
      </c>
      <c r="J137" s="74"/>
    </row>
    <row r="138" ht="15.75" customHeight="1">
      <c r="A138" s="59">
        <v>15.0</v>
      </c>
      <c r="B138" s="60" t="s">
        <v>208</v>
      </c>
      <c r="C138" s="60" t="s">
        <v>12</v>
      </c>
      <c r="D138" s="60">
        <v>4.0</v>
      </c>
      <c r="E138" s="60" t="s">
        <v>63</v>
      </c>
      <c r="F138" s="62" t="s">
        <v>209</v>
      </c>
      <c r="G138" s="63">
        <v>45903.0</v>
      </c>
      <c r="H138" s="92">
        <v>45912.0</v>
      </c>
      <c r="J138" s="74"/>
    </row>
    <row r="139" ht="15.75" customHeight="1">
      <c r="A139" s="59">
        <v>15.0</v>
      </c>
      <c r="B139" s="60" t="s">
        <v>210</v>
      </c>
      <c r="C139" s="60" t="s">
        <v>12</v>
      </c>
      <c r="D139" s="60">
        <v>5.0</v>
      </c>
      <c r="E139" s="60" t="s">
        <v>63</v>
      </c>
      <c r="F139" s="62" t="s">
        <v>211</v>
      </c>
      <c r="G139" s="63">
        <v>45905.0</v>
      </c>
      <c r="H139" s="92">
        <v>45915.0</v>
      </c>
      <c r="J139" s="74"/>
    </row>
    <row r="140" ht="15.75" customHeight="1">
      <c r="A140" s="59">
        <v>15.0</v>
      </c>
      <c r="B140" s="60" t="s">
        <v>212</v>
      </c>
      <c r="C140" s="60" t="s">
        <v>12</v>
      </c>
      <c r="D140" s="60">
        <v>3.0</v>
      </c>
      <c r="E140" s="60" t="s">
        <v>63</v>
      </c>
      <c r="F140" s="62" t="s">
        <v>213</v>
      </c>
      <c r="G140" s="63">
        <v>45905.0</v>
      </c>
      <c r="H140" s="92">
        <v>45915.0</v>
      </c>
      <c r="J140" s="74"/>
    </row>
    <row r="141" ht="15.75" customHeight="1">
      <c r="A141" s="59">
        <v>15.0</v>
      </c>
      <c r="B141" s="60" t="s">
        <v>214</v>
      </c>
      <c r="C141" s="60" t="s">
        <v>12</v>
      </c>
      <c r="D141" s="60">
        <v>3.0</v>
      </c>
      <c r="E141" s="60" t="s">
        <v>63</v>
      </c>
      <c r="F141" s="93" t="s">
        <v>215</v>
      </c>
      <c r="G141" s="63">
        <v>45905.0</v>
      </c>
      <c r="H141" s="92">
        <v>45921.0</v>
      </c>
      <c r="J141" s="74"/>
    </row>
    <row r="142" ht="15.75" customHeight="1">
      <c r="A142" s="3" t="s">
        <v>25</v>
      </c>
      <c r="B142" s="4"/>
      <c r="C142" s="4"/>
      <c r="D142" s="4"/>
      <c r="E142" s="4"/>
      <c r="F142" s="5"/>
      <c r="G142" s="3" t="s">
        <v>2</v>
      </c>
      <c r="H142" s="5"/>
      <c r="J142" s="74"/>
    </row>
    <row r="143" ht="15.75" customHeight="1">
      <c r="A143" s="3" t="s">
        <v>3</v>
      </c>
      <c r="B143" s="4" t="s">
        <v>4</v>
      </c>
      <c r="C143" s="4" t="s">
        <v>5</v>
      </c>
      <c r="D143" s="4" t="s">
        <v>6</v>
      </c>
      <c r="E143" s="4" t="s">
        <v>7</v>
      </c>
      <c r="F143" s="6" t="s">
        <v>8</v>
      </c>
      <c r="G143" s="3" t="s">
        <v>9</v>
      </c>
      <c r="H143" s="5" t="s">
        <v>10</v>
      </c>
      <c r="J143" s="74"/>
    </row>
    <row r="144" ht="15.75" customHeight="1">
      <c r="A144" s="94" t="s">
        <v>216</v>
      </c>
      <c r="B144" s="8" t="s">
        <v>133</v>
      </c>
      <c r="C144" s="9" t="s">
        <v>145</v>
      </c>
      <c r="D144" s="9">
        <v>7.0</v>
      </c>
      <c r="E144" s="9" t="s">
        <v>63</v>
      </c>
      <c r="F144" s="11" t="s">
        <v>217</v>
      </c>
      <c r="G144" s="12">
        <v>45901.0</v>
      </c>
      <c r="H144" s="73">
        <v>45908.0</v>
      </c>
      <c r="J144" s="74"/>
    </row>
    <row r="145" ht="15.75" customHeight="1">
      <c r="A145" s="10">
        <v>17.0</v>
      </c>
      <c r="B145" s="8" t="s">
        <v>218</v>
      </c>
      <c r="C145" s="9" t="s">
        <v>12</v>
      </c>
      <c r="D145" s="9">
        <v>7.0</v>
      </c>
      <c r="E145" s="9" t="s">
        <v>63</v>
      </c>
      <c r="F145" s="11" t="s">
        <v>219</v>
      </c>
      <c r="G145" s="12">
        <v>45903.0</v>
      </c>
      <c r="H145" s="73">
        <v>45914.0</v>
      </c>
      <c r="J145" s="74"/>
    </row>
    <row r="146" ht="15.75" customHeight="1">
      <c r="A146" s="10">
        <v>17.0</v>
      </c>
      <c r="B146" s="8" t="s">
        <v>220</v>
      </c>
      <c r="C146" s="9" t="s">
        <v>12</v>
      </c>
      <c r="D146" s="9">
        <v>6.0</v>
      </c>
      <c r="E146" s="9" t="s">
        <v>63</v>
      </c>
      <c r="F146" s="11" t="s">
        <v>221</v>
      </c>
      <c r="G146" s="12">
        <v>45905.0</v>
      </c>
      <c r="H146" s="73">
        <v>45915.0</v>
      </c>
      <c r="J146" s="74"/>
    </row>
    <row r="147" ht="15.75" customHeight="1">
      <c r="A147" s="10">
        <v>17.0</v>
      </c>
      <c r="B147" s="8" t="s">
        <v>222</v>
      </c>
      <c r="C147" s="9" t="s">
        <v>12</v>
      </c>
      <c r="D147" s="9">
        <v>4.0</v>
      </c>
      <c r="E147" s="9" t="s">
        <v>63</v>
      </c>
      <c r="F147" s="11" t="s">
        <v>223</v>
      </c>
      <c r="G147" s="12">
        <v>45905.0</v>
      </c>
      <c r="H147" s="73">
        <v>45919.0</v>
      </c>
      <c r="J147" s="74"/>
    </row>
    <row r="148" ht="15.75" customHeight="1">
      <c r="A148" s="10">
        <v>17.0</v>
      </c>
      <c r="B148" s="8" t="s">
        <v>224</v>
      </c>
      <c r="C148" s="9" t="s">
        <v>12</v>
      </c>
      <c r="D148" s="9">
        <v>2.0</v>
      </c>
      <c r="E148" s="9" t="s">
        <v>63</v>
      </c>
      <c r="F148" s="95" t="s">
        <v>225</v>
      </c>
      <c r="G148" s="12">
        <v>45906.0</v>
      </c>
      <c r="H148" s="75">
        <v>45919.0</v>
      </c>
      <c r="J148" s="74"/>
    </row>
    <row r="149" ht="15.75" customHeight="1">
      <c r="A149" s="3" t="s">
        <v>25</v>
      </c>
      <c r="B149" s="4"/>
      <c r="C149" s="4"/>
      <c r="D149" s="4"/>
      <c r="E149" s="4"/>
      <c r="F149" s="5"/>
      <c r="G149" s="3" t="s">
        <v>2</v>
      </c>
      <c r="H149" s="5"/>
      <c r="J149" s="74"/>
    </row>
    <row r="150" ht="15.75" customHeight="1">
      <c r="A150" s="3" t="s">
        <v>3</v>
      </c>
      <c r="B150" s="4" t="s">
        <v>4</v>
      </c>
      <c r="C150" s="4" t="s">
        <v>5</v>
      </c>
      <c r="D150" s="4" t="s">
        <v>6</v>
      </c>
      <c r="E150" s="4" t="s">
        <v>7</v>
      </c>
      <c r="F150" s="6" t="s">
        <v>8</v>
      </c>
      <c r="G150" s="3" t="s">
        <v>9</v>
      </c>
      <c r="H150" s="5" t="s">
        <v>10</v>
      </c>
      <c r="J150" s="74"/>
    </row>
    <row r="151" ht="15.75" customHeight="1">
      <c r="A151" s="76" t="s">
        <v>226</v>
      </c>
      <c r="B151" s="16" t="s">
        <v>133</v>
      </c>
      <c r="C151" s="16" t="s">
        <v>145</v>
      </c>
      <c r="D151" s="16">
        <v>8.0</v>
      </c>
      <c r="E151" s="16" t="s">
        <v>63</v>
      </c>
      <c r="F151" s="18" t="s">
        <v>227</v>
      </c>
      <c r="G151" s="19">
        <v>45901.0</v>
      </c>
      <c r="H151" s="77">
        <v>45915.0</v>
      </c>
      <c r="J151" s="74"/>
    </row>
    <row r="152" ht="15.75" customHeight="1">
      <c r="A152" s="96">
        <v>18.0</v>
      </c>
      <c r="B152" s="16" t="s">
        <v>136</v>
      </c>
      <c r="C152" s="16" t="s">
        <v>12</v>
      </c>
      <c r="D152" s="16">
        <v>4.0</v>
      </c>
      <c r="E152" s="16" t="s">
        <v>63</v>
      </c>
      <c r="F152" s="18" t="s">
        <v>228</v>
      </c>
      <c r="G152" s="19">
        <v>45905.0</v>
      </c>
      <c r="H152" s="77">
        <v>45907.0</v>
      </c>
      <c r="J152" s="74"/>
    </row>
    <row r="153" ht="15.75" customHeight="1">
      <c r="A153" s="15">
        <v>18.0</v>
      </c>
      <c r="B153" s="16" t="s">
        <v>229</v>
      </c>
      <c r="C153" s="16" t="s">
        <v>12</v>
      </c>
      <c r="D153" s="16">
        <v>6.0</v>
      </c>
      <c r="E153" s="16" t="s">
        <v>63</v>
      </c>
      <c r="F153" s="18" t="s">
        <v>230</v>
      </c>
      <c r="G153" s="19">
        <v>45907.0</v>
      </c>
      <c r="H153" s="77">
        <v>45914.0</v>
      </c>
      <c r="J153" s="74"/>
    </row>
    <row r="154" ht="15.75" customHeight="1">
      <c r="A154" s="15">
        <v>18.0</v>
      </c>
      <c r="B154" s="16" t="s">
        <v>231</v>
      </c>
      <c r="C154" s="16" t="s">
        <v>12</v>
      </c>
      <c r="D154" s="16">
        <v>3.0</v>
      </c>
      <c r="E154" s="16" t="s">
        <v>63</v>
      </c>
      <c r="F154" s="18" t="s">
        <v>232</v>
      </c>
      <c r="G154" s="19">
        <v>45907.0</v>
      </c>
      <c r="H154" s="77">
        <v>45914.0</v>
      </c>
      <c r="J154" s="74"/>
    </row>
    <row r="155" ht="15.75" customHeight="1">
      <c r="A155" s="15">
        <v>18.0</v>
      </c>
      <c r="B155" s="16" t="s">
        <v>233</v>
      </c>
      <c r="C155" s="16" t="s">
        <v>12</v>
      </c>
      <c r="D155" s="16">
        <v>3.0</v>
      </c>
      <c r="E155" s="16" t="s">
        <v>63</v>
      </c>
      <c r="F155" s="18" t="s">
        <v>234</v>
      </c>
      <c r="G155" s="19">
        <v>45907.0</v>
      </c>
      <c r="H155" s="77">
        <v>45914.0</v>
      </c>
      <c r="J155" s="74"/>
    </row>
    <row r="156" ht="15.75" customHeight="1">
      <c r="A156" s="15">
        <v>18.0</v>
      </c>
      <c r="B156" s="16" t="s">
        <v>204</v>
      </c>
      <c r="C156" s="16" t="s">
        <v>12</v>
      </c>
      <c r="D156" s="16">
        <v>2.0</v>
      </c>
      <c r="E156" s="16" t="s">
        <v>63</v>
      </c>
      <c r="F156" s="21" t="s">
        <v>235</v>
      </c>
      <c r="G156" s="19">
        <v>45908.0</v>
      </c>
      <c r="H156" s="77">
        <v>45921.0</v>
      </c>
      <c r="J156" s="74"/>
    </row>
    <row r="157" ht="15.75" customHeight="1">
      <c r="A157" s="3" t="s">
        <v>25</v>
      </c>
      <c r="B157" s="4"/>
      <c r="C157" s="4"/>
      <c r="D157" s="4"/>
      <c r="E157" s="4"/>
      <c r="F157" s="5"/>
      <c r="G157" s="3" t="s">
        <v>2</v>
      </c>
      <c r="H157" s="5"/>
      <c r="J157" s="74"/>
    </row>
    <row r="158" ht="15.75" customHeight="1">
      <c r="A158" s="3" t="s">
        <v>3</v>
      </c>
      <c r="B158" s="4" t="s">
        <v>4</v>
      </c>
      <c r="C158" s="4" t="s">
        <v>5</v>
      </c>
      <c r="D158" s="4" t="s">
        <v>6</v>
      </c>
      <c r="E158" s="4" t="s">
        <v>7</v>
      </c>
      <c r="F158" s="6" t="s">
        <v>8</v>
      </c>
      <c r="G158" s="3" t="s">
        <v>9</v>
      </c>
      <c r="H158" s="5" t="s">
        <v>10</v>
      </c>
      <c r="J158" s="74"/>
    </row>
    <row r="159" ht="15.75" customHeight="1">
      <c r="A159" s="97" t="s">
        <v>236</v>
      </c>
      <c r="B159" s="66" t="s">
        <v>133</v>
      </c>
      <c r="C159" s="66" t="s">
        <v>145</v>
      </c>
      <c r="D159" s="66">
        <v>9.0</v>
      </c>
      <c r="E159" s="66" t="s">
        <v>63</v>
      </c>
      <c r="F159" s="68" t="s">
        <v>237</v>
      </c>
      <c r="G159" s="69">
        <v>45901.0</v>
      </c>
      <c r="H159" s="98">
        <v>45915.0</v>
      </c>
      <c r="J159" s="74"/>
    </row>
    <row r="160" ht="15.75" customHeight="1">
      <c r="A160" s="99">
        <v>20.0</v>
      </c>
      <c r="B160" s="66" t="s">
        <v>238</v>
      </c>
      <c r="C160" s="66" t="s">
        <v>12</v>
      </c>
      <c r="D160" s="66">
        <v>3.0</v>
      </c>
      <c r="E160" s="66" t="s">
        <v>63</v>
      </c>
      <c r="F160" s="68" t="s">
        <v>239</v>
      </c>
      <c r="G160" s="69">
        <v>45905.0</v>
      </c>
      <c r="H160" s="98">
        <v>45907.0</v>
      </c>
      <c r="J160" s="74"/>
    </row>
    <row r="161" ht="15.75" customHeight="1">
      <c r="A161" s="65">
        <v>20.0</v>
      </c>
      <c r="B161" s="66" t="s">
        <v>240</v>
      </c>
      <c r="C161" s="66" t="s">
        <v>12</v>
      </c>
      <c r="D161" s="66">
        <v>5.0</v>
      </c>
      <c r="E161" s="66" t="s">
        <v>63</v>
      </c>
      <c r="F161" s="68" t="s">
        <v>241</v>
      </c>
      <c r="G161" s="69">
        <v>45907.0</v>
      </c>
      <c r="H161" s="98">
        <v>45914.0</v>
      </c>
      <c r="J161" s="74"/>
    </row>
    <row r="162" ht="15.75" customHeight="1">
      <c r="A162" s="65">
        <v>20.0</v>
      </c>
      <c r="B162" s="66" t="s">
        <v>242</v>
      </c>
      <c r="C162" s="66" t="s">
        <v>12</v>
      </c>
      <c r="D162" s="66">
        <v>4.0</v>
      </c>
      <c r="E162" s="66" t="s">
        <v>63</v>
      </c>
      <c r="F162" s="68" t="s">
        <v>243</v>
      </c>
      <c r="G162" s="69">
        <v>45907.0</v>
      </c>
      <c r="H162" s="98">
        <v>45914.0</v>
      </c>
      <c r="J162" s="74"/>
    </row>
    <row r="163" ht="15.75" customHeight="1">
      <c r="A163" s="65">
        <v>20.0</v>
      </c>
      <c r="B163" s="66" t="s">
        <v>244</v>
      </c>
      <c r="C163" s="66" t="s">
        <v>12</v>
      </c>
      <c r="D163" s="66">
        <v>4.0</v>
      </c>
      <c r="E163" s="66" t="s">
        <v>63</v>
      </c>
      <c r="F163" s="68" t="s">
        <v>245</v>
      </c>
      <c r="G163" s="69">
        <v>45907.0</v>
      </c>
      <c r="H163" s="98">
        <v>45914.0</v>
      </c>
      <c r="J163" s="74"/>
    </row>
    <row r="164" ht="15.75" customHeight="1">
      <c r="A164" s="65">
        <v>20.0</v>
      </c>
      <c r="B164" s="66" t="s">
        <v>246</v>
      </c>
      <c r="C164" s="66" t="s">
        <v>12</v>
      </c>
      <c r="D164" s="66">
        <v>3.0</v>
      </c>
      <c r="E164" s="66" t="s">
        <v>63</v>
      </c>
      <c r="F164" s="100" t="s">
        <v>247</v>
      </c>
      <c r="G164" s="69">
        <v>45908.0</v>
      </c>
      <c r="H164" s="98">
        <v>45921.0</v>
      </c>
      <c r="J164" s="74"/>
    </row>
    <row r="165" ht="15.75" customHeight="1">
      <c r="A165" s="3" t="s">
        <v>25</v>
      </c>
      <c r="B165" s="4"/>
      <c r="C165" s="4"/>
      <c r="D165" s="4"/>
      <c r="E165" s="4"/>
      <c r="F165" s="5"/>
      <c r="G165" s="3" t="s">
        <v>2</v>
      </c>
      <c r="H165" s="5"/>
      <c r="J165" s="101"/>
    </row>
    <row r="166" ht="15.75" customHeight="1">
      <c r="A166" s="3" t="s">
        <v>3</v>
      </c>
      <c r="B166" s="4" t="s">
        <v>4</v>
      </c>
      <c r="C166" s="4" t="s">
        <v>5</v>
      </c>
      <c r="D166" s="4" t="s">
        <v>6</v>
      </c>
      <c r="E166" s="4" t="s">
        <v>7</v>
      </c>
      <c r="F166" s="6" t="s">
        <v>8</v>
      </c>
      <c r="G166" s="3" t="s">
        <v>9</v>
      </c>
      <c r="H166" s="5" t="s">
        <v>10</v>
      </c>
      <c r="J166" s="101"/>
    </row>
    <row r="167" ht="15.75" customHeight="1">
      <c r="A167" s="102" t="s">
        <v>248</v>
      </c>
      <c r="B167" s="36" t="s">
        <v>133</v>
      </c>
      <c r="C167" s="36" t="s">
        <v>145</v>
      </c>
      <c r="D167" s="36">
        <v>9.0</v>
      </c>
      <c r="E167" s="36" t="s">
        <v>63</v>
      </c>
      <c r="F167" s="38" t="s">
        <v>249</v>
      </c>
      <c r="G167" s="39">
        <v>45908.0</v>
      </c>
      <c r="H167" s="83">
        <v>45910.0</v>
      </c>
      <c r="J167" s="101"/>
    </row>
    <row r="168" ht="15.75" customHeight="1">
      <c r="A168" s="103">
        <v>22.0</v>
      </c>
      <c r="B168" s="36" t="s">
        <v>250</v>
      </c>
      <c r="C168" s="36" t="s">
        <v>12</v>
      </c>
      <c r="D168" s="36">
        <v>5.0</v>
      </c>
      <c r="E168" s="36" t="s">
        <v>63</v>
      </c>
      <c r="F168" s="38" t="s">
        <v>251</v>
      </c>
      <c r="G168" s="39">
        <v>45909.0</v>
      </c>
      <c r="H168" s="83">
        <v>45911.0</v>
      </c>
      <c r="J168" s="101"/>
    </row>
    <row r="169" ht="15.75" customHeight="1">
      <c r="A169" s="103">
        <v>22.0</v>
      </c>
      <c r="B169" s="36" t="s">
        <v>252</v>
      </c>
      <c r="C169" s="36" t="s">
        <v>12</v>
      </c>
      <c r="D169" s="36">
        <v>6.0</v>
      </c>
      <c r="E169" s="36" t="s">
        <v>63</v>
      </c>
      <c r="F169" s="38" t="s">
        <v>253</v>
      </c>
      <c r="G169" s="39">
        <v>45910.0</v>
      </c>
      <c r="H169" s="83">
        <v>45914.0</v>
      </c>
      <c r="J169" s="101"/>
    </row>
    <row r="170" ht="15.75" customHeight="1">
      <c r="A170" s="103">
        <v>22.0</v>
      </c>
      <c r="B170" s="36" t="s">
        <v>254</v>
      </c>
      <c r="C170" s="36" t="s">
        <v>12</v>
      </c>
      <c r="D170" s="36">
        <v>3.0</v>
      </c>
      <c r="E170" s="36" t="s">
        <v>63</v>
      </c>
      <c r="F170" s="38" t="s">
        <v>255</v>
      </c>
      <c r="G170" s="39">
        <v>45910.0</v>
      </c>
      <c r="H170" s="83">
        <v>45914.0</v>
      </c>
      <c r="J170" s="101"/>
    </row>
    <row r="171" ht="15.75" customHeight="1">
      <c r="A171" s="103">
        <v>22.0</v>
      </c>
      <c r="B171" s="36" t="s">
        <v>256</v>
      </c>
      <c r="C171" s="36" t="s">
        <v>12</v>
      </c>
      <c r="D171" s="36">
        <v>5.0</v>
      </c>
      <c r="E171" s="36" t="s">
        <v>63</v>
      </c>
      <c r="F171" s="38" t="s">
        <v>257</v>
      </c>
      <c r="G171" s="39">
        <v>45910.0</v>
      </c>
      <c r="H171" s="83">
        <v>45914.0</v>
      </c>
      <c r="J171" s="101"/>
    </row>
    <row r="172" ht="15.75" customHeight="1">
      <c r="A172" s="37"/>
      <c r="B172" s="104" t="s">
        <v>258</v>
      </c>
      <c r="C172" s="36" t="s">
        <v>12</v>
      </c>
      <c r="D172" s="36">
        <v>3.0</v>
      </c>
      <c r="E172" s="36" t="s">
        <v>63</v>
      </c>
      <c r="F172" s="85" t="s">
        <v>259</v>
      </c>
      <c r="G172" s="39">
        <v>45911.0</v>
      </c>
      <c r="H172" s="83">
        <v>45926.0</v>
      </c>
      <c r="J172" s="101"/>
    </row>
    <row r="173" ht="15.75" customHeight="1">
      <c r="A173" s="3" t="s">
        <v>25</v>
      </c>
      <c r="B173" s="4"/>
      <c r="C173" s="4"/>
      <c r="D173" s="4"/>
      <c r="E173" s="4"/>
      <c r="F173" s="5"/>
      <c r="G173" s="3" t="s">
        <v>2</v>
      </c>
      <c r="H173" s="5"/>
      <c r="J173" s="101"/>
    </row>
    <row r="174" ht="15.75" customHeight="1">
      <c r="A174" s="3" t="s">
        <v>3</v>
      </c>
      <c r="B174" s="4" t="s">
        <v>4</v>
      </c>
      <c r="C174" s="4" t="s">
        <v>5</v>
      </c>
      <c r="D174" s="4" t="s">
        <v>6</v>
      </c>
      <c r="E174" s="4" t="s">
        <v>7</v>
      </c>
      <c r="F174" s="6" t="s">
        <v>8</v>
      </c>
      <c r="G174" s="3" t="s">
        <v>9</v>
      </c>
      <c r="H174" s="5" t="s">
        <v>10</v>
      </c>
      <c r="J174" s="101"/>
    </row>
    <row r="175" ht="15.75" customHeight="1">
      <c r="A175" s="105" t="s">
        <v>260</v>
      </c>
      <c r="B175" s="106" t="s">
        <v>133</v>
      </c>
      <c r="C175" s="106" t="s">
        <v>145</v>
      </c>
      <c r="D175" s="106">
        <v>7.0</v>
      </c>
      <c r="E175" s="106" t="s">
        <v>63</v>
      </c>
      <c r="F175" s="107" t="s">
        <v>261</v>
      </c>
      <c r="G175" s="108">
        <v>45905.0</v>
      </c>
      <c r="H175" s="109">
        <v>45908.0</v>
      </c>
      <c r="J175" s="101"/>
    </row>
    <row r="176" ht="15.75" customHeight="1">
      <c r="A176" s="110">
        <v>23.0</v>
      </c>
      <c r="B176" s="106" t="s">
        <v>262</v>
      </c>
      <c r="C176" s="106" t="s">
        <v>12</v>
      </c>
      <c r="D176" s="106">
        <v>3.0</v>
      </c>
      <c r="E176" s="106" t="s">
        <v>63</v>
      </c>
      <c r="F176" s="107" t="s">
        <v>263</v>
      </c>
      <c r="G176" s="108">
        <v>45908.0</v>
      </c>
      <c r="H176" s="109">
        <v>45912.0</v>
      </c>
      <c r="J176" s="101"/>
    </row>
    <row r="177" ht="15.75" customHeight="1">
      <c r="A177" s="111">
        <v>23.0</v>
      </c>
      <c r="B177" s="106" t="s">
        <v>264</v>
      </c>
      <c r="C177" s="106" t="s">
        <v>12</v>
      </c>
      <c r="D177" s="106">
        <v>6.0</v>
      </c>
      <c r="E177" s="106" t="s">
        <v>63</v>
      </c>
      <c r="F177" s="107" t="s">
        <v>265</v>
      </c>
      <c r="G177" s="108">
        <v>45909.0</v>
      </c>
      <c r="H177" s="109">
        <v>45914.0</v>
      </c>
      <c r="J177" s="101"/>
    </row>
    <row r="178" ht="15.75" customHeight="1">
      <c r="A178" s="111">
        <v>23.0</v>
      </c>
      <c r="B178" s="106" t="s">
        <v>266</v>
      </c>
      <c r="C178" s="106" t="s">
        <v>12</v>
      </c>
      <c r="D178" s="106">
        <v>3.0</v>
      </c>
      <c r="E178" s="106" t="s">
        <v>63</v>
      </c>
      <c r="F178" s="107" t="s">
        <v>267</v>
      </c>
      <c r="G178" s="108">
        <v>45909.0</v>
      </c>
      <c r="H178" s="109">
        <v>45914.0</v>
      </c>
      <c r="J178" s="101"/>
    </row>
    <row r="179" ht="15.75" customHeight="1">
      <c r="A179" s="111">
        <v>23.0</v>
      </c>
      <c r="B179" s="106" t="s">
        <v>268</v>
      </c>
      <c r="C179" s="106" t="s">
        <v>12</v>
      </c>
      <c r="D179" s="106">
        <v>2.0</v>
      </c>
      <c r="E179" s="106" t="s">
        <v>63</v>
      </c>
      <c r="F179" s="107" t="s">
        <v>269</v>
      </c>
      <c r="G179" s="108">
        <v>45910.0</v>
      </c>
      <c r="H179" s="109">
        <v>45914.0</v>
      </c>
      <c r="J179" s="101"/>
    </row>
    <row r="180" ht="15.75" customHeight="1">
      <c r="A180" s="111">
        <v>23.0</v>
      </c>
      <c r="B180" s="106" t="s">
        <v>270</v>
      </c>
      <c r="C180" s="106" t="s">
        <v>12</v>
      </c>
      <c r="D180" s="106">
        <v>2.0</v>
      </c>
      <c r="E180" s="106" t="s">
        <v>63</v>
      </c>
      <c r="F180" s="112" t="s">
        <v>271</v>
      </c>
      <c r="G180" s="108">
        <v>45910.0</v>
      </c>
      <c r="H180" s="109">
        <v>45926.0</v>
      </c>
      <c r="J180" s="101"/>
    </row>
    <row r="181" ht="15.75" customHeight="1">
      <c r="A181" s="3" t="s">
        <v>25</v>
      </c>
      <c r="B181" s="4"/>
      <c r="C181" s="4"/>
      <c r="D181" s="4"/>
      <c r="E181" s="4"/>
      <c r="F181" s="5"/>
      <c r="G181" s="3" t="s">
        <v>2</v>
      </c>
      <c r="H181" s="5"/>
      <c r="J181" s="101"/>
    </row>
    <row r="182" ht="15.75" customHeight="1">
      <c r="A182" s="3" t="s">
        <v>3</v>
      </c>
      <c r="B182" s="4" t="s">
        <v>4</v>
      </c>
      <c r="C182" s="4" t="s">
        <v>5</v>
      </c>
      <c r="D182" s="4" t="s">
        <v>6</v>
      </c>
      <c r="E182" s="4" t="s">
        <v>7</v>
      </c>
      <c r="F182" s="6" t="s">
        <v>8</v>
      </c>
      <c r="G182" s="3" t="s">
        <v>9</v>
      </c>
      <c r="H182" s="5" t="s">
        <v>10</v>
      </c>
      <c r="J182" s="101"/>
    </row>
    <row r="183" ht="15.75" customHeight="1">
      <c r="A183" s="91" t="s">
        <v>272</v>
      </c>
      <c r="B183" s="60" t="s">
        <v>133</v>
      </c>
      <c r="C183" s="60" t="s">
        <v>145</v>
      </c>
      <c r="D183" s="60">
        <v>8.0</v>
      </c>
      <c r="E183" s="60" t="s">
        <v>63</v>
      </c>
      <c r="F183" s="62" t="s">
        <v>273</v>
      </c>
      <c r="G183" s="63">
        <v>45905.0</v>
      </c>
      <c r="H183" s="92">
        <v>45908.0</v>
      </c>
      <c r="J183" s="101"/>
    </row>
    <row r="184" ht="15.75" customHeight="1">
      <c r="A184" s="113">
        <v>24.0</v>
      </c>
      <c r="B184" s="60" t="s">
        <v>274</v>
      </c>
      <c r="C184" s="60" t="s">
        <v>12</v>
      </c>
      <c r="D184" s="60">
        <v>3.0</v>
      </c>
      <c r="E184" s="60" t="s">
        <v>63</v>
      </c>
      <c r="F184" s="62" t="s">
        <v>275</v>
      </c>
      <c r="G184" s="63">
        <v>45908.0</v>
      </c>
      <c r="H184" s="92">
        <v>45912.0</v>
      </c>
      <c r="J184" s="101"/>
    </row>
    <row r="185" ht="15.75" customHeight="1">
      <c r="A185" s="59">
        <v>24.0</v>
      </c>
      <c r="B185" s="60" t="s">
        <v>276</v>
      </c>
      <c r="C185" s="60" t="s">
        <v>12</v>
      </c>
      <c r="D185" s="60">
        <v>4.0</v>
      </c>
      <c r="E185" s="60" t="s">
        <v>63</v>
      </c>
      <c r="F185" s="62" t="s">
        <v>277</v>
      </c>
      <c r="G185" s="63">
        <v>45909.0</v>
      </c>
      <c r="H185" s="92">
        <v>45914.0</v>
      </c>
      <c r="J185" s="101"/>
    </row>
    <row r="186" ht="15.75" customHeight="1">
      <c r="A186" s="59">
        <v>24.0</v>
      </c>
      <c r="B186" s="60" t="s">
        <v>278</v>
      </c>
      <c r="C186" s="60" t="s">
        <v>12</v>
      </c>
      <c r="D186" s="60">
        <v>2.0</v>
      </c>
      <c r="E186" s="60" t="s">
        <v>63</v>
      </c>
      <c r="F186" s="62" t="s">
        <v>279</v>
      </c>
      <c r="G186" s="63">
        <v>45909.0</v>
      </c>
      <c r="H186" s="92">
        <v>45914.0</v>
      </c>
      <c r="J186" s="101"/>
    </row>
    <row r="187" ht="15.75" customHeight="1">
      <c r="A187" s="59">
        <v>24.0</v>
      </c>
      <c r="B187" s="60" t="s">
        <v>280</v>
      </c>
      <c r="C187" s="60" t="s">
        <v>12</v>
      </c>
      <c r="D187" s="60">
        <v>3.0</v>
      </c>
      <c r="E187" s="60" t="s">
        <v>63</v>
      </c>
      <c r="F187" s="93" t="s">
        <v>281</v>
      </c>
      <c r="G187" s="63">
        <v>45909.0</v>
      </c>
      <c r="H187" s="92">
        <v>45926.0</v>
      </c>
      <c r="J187" s="101"/>
    </row>
    <row r="188" ht="15.75" customHeight="1">
      <c r="A188" s="3" t="s">
        <v>25</v>
      </c>
      <c r="B188" s="4"/>
      <c r="C188" s="4"/>
      <c r="D188" s="4"/>
      <c r="E188" s="4"/>
      <c r="F188" s="5"/>
      <c r="G188" s="3" t="s">
        <v>2</v>
      </c>
      <c r="H188" s="5"/>
      <c r="J188" s="101"/>
    </row>
    <row r="189" ht="15.75" customHeight="1">
      <c r="A189" s="3" t="s">
        <v>3</v>
      </c>
      <c r="B189" s="4" t="s">
        <v>4</v>
      </c>
      <c r="C189" s="4" t="s">
        <v>5</v>
      </c>
      <c r="D189" s="4" t="s">
        <v>6</v>
      </c>
      <c r="E189" s="4" t="s">
        <v>7</v>
      </c>
      <c r="F189" s="6" t="s">
        <v>8</v>
      </c>
      <c r="G189" s="3" t="s">
        <v>9</v>
      </c>
      <c r="H189" s="5" t="s">
        <v>10</v>
      </c>
      <c r="J189" s="101"/>
    </row>
    <row r="190" ht="15.75" customHeight="1">
      <c r="A190" s="94" t="s">
        <v>282</v>
      </c>
      <c r="B190" s="8" t="s">
        <v>283</v>
      </c>
      <c r="C190" s="9" t="s">
        <v>145</v>
      </c>
      <c r="D190" s="9">
        <v>6.0</v>
      </c>
      <c r="E190" s="9" t="s">
        <v>63</v>
      </c>
      <c r="F190" s="11" t="s">
        <v>284</v>
      </c>
      <c r="G190" s="12">
        <v>45905.0</v>
      </c>
      <c r="H190" s="73">
        <v>45908.0</v>
      </c>
      <c r="J190" s="101"/>
    </row>
    <row r="191" ht="15.75" customHeight="1">
      <c r="A191" s="9">
        <v>25.0</v>
      </c>
      <c r="B191" s="8" t="s">
        <v>285</v>
      </c>
      <c r="C191" s="9" t="s">
        <v>12</v>
      </c>
      <c r="D191" s="9">
        <v>4.0</v>
      </c>
      <c r="E191" s="9" t="s">
        <v>63</v>
      </c>
      <c r="F191" s="11" t="s">
        <v>286</v>
      </c>
      <c r="G191" s="12">
        <v>45908.0</v>
      </c>
      <c r="H191" s="73">
        <v>45912.0</v>
      </c>
      <c r="J191" s="101"/>
    </row>
    <row r="192" ht="15.75" customHeight="1">
      <c r="A192" s="10">
        <v>25.0</v>
      </c>
      <c r="B192" s="8" t="s">
        <v>287</v>
      </c>
      <c r="C192" s="9" t="s">
        <v>12</v>
      </c>
      <c r="D192" s="9">
        <v>3.0</v>
      </c>
      <c r="E192" s="9" t="s">
        <v>63</v>
      </c>
      <c r="F192" s="11" t="s">
        <v>288</v>
      </c>
      <c r="G192" s="12">
        <v>45909.0</v>
      </c>
      <c r="H192" s="73">
        <v>45914.0</v>
      </c>
      <c r="J192" s="101"/>
    </row>
    <row r="193" ht="15.75" customHeight="1">
      <c r="A193" s="10">
        <v>25.0</v>
      </c>
      <c r="B193" s="8" t="s">
        <v>289</v>
      </c>
      <c r="C193" s="9" t="s">
        <v>12</v>
      </c>
      <c r="D193" s="9">
        <v>3.0</v>
      </c>
      <c r="E193" s="9" t="s">
        <v>63</v>
      </c>
      <c r="F193" s="11" t="s">
        <v>290</v>
      </c>
      <c r="G193" s="12">
        <v>45909.0</v>
      </c>
      <c r="H193" s="73">
        <v>45914.0</v>
      </c>
      <c r="J193" s="101"/>
    </row>
    <row r="194" ht="15.75" customHeight="1">
      <c r="A194" s="10">
        <v>25.0</v>
      </c>
      <c r="B194" s="8" t="s">
        <v>291</v>
      </c>
      <c r="C194" s="9" t="s">
        <v>12</v>
      </c>
      <c r="D194" s="9">
        <v>2.0</v>
      </c>
      <c r="E194" s="9" t="s">
        <v>63</v>
      </c>
      <c r="F194" s="95" t="s">
        <v>292</v>
      </c>
      <c r="G194" s="12">
        <v>45909.0</v>
      </c>
      <c r="H194" s="75">
        <v>45926.0</v>
      </c>
      <c r="J194" s="101"/>
    </row>
    <row r="195" ht="15.75" customHeight="1">
      <c r="A195" s="3" t="s">
        <v>25</v>
      </c>
      <c r="B195" s="4"/>
      <c r="C195" s="4"/>
      <c r="D195" s="4"/>
      <c r="E195" s="4"/>
      <c r="F195" s="5"/>
      <c r="G195" s="3" t="s">
        <v>2</v>
      </c>
      <c r="H195" s="5"/>
      <c r="J195" s="101"/>
    </row>
    <row r="196" ht="15.75" customHeight="1">
      <c r="A196" s="3" t="s">
        <v>3</v>
      </c>
      <c r="B196" s="4" t="s">
        <v>4</v>
      </c>
      <c r="C196" s="4" t="s">
        <v>5</v>
      </c>
      <c r="D196" s="4" t="s">
        <v>6</v>
      </c>
      <c r="E196" s="4" t="s">
        <v>7</v>
      </c>
      <c r="F196" s="6" t="s">
        <v>8</v>
      </c>
      <c r="G196" s="3" t="s">
        <v>9</v>
      </c>
      <c r="H196" s="5" t="s">
        <v>10</v>
      </c>
      <c r="J196" s="101"/>
    </row>
    <row r="197" ht="15.75" customHeight="1">
      <c r="A197" s="78" t="s">
        <v>293</v>
      </c>
      <c r="B197" s="23" t="s">
        <v>133</v>
      </c>
      <c r="C197" s="23" t="s">
        <v>145</v>
      </c>
      <c r="D197" s="23">
        <v>9.0</v>
      </c>
      <c r="E197" s="23" t="s">
        <v>63</v>
      </c>
      <c r="F197" s="25" t="s">
        <v>294</v>
      </c>
      <c r="G197" s="26">
        <v>45905.0</v>
      </c>
      <c r="H197" s="79">
        <v>45908.0</v>
      </c>
      <c r="J197" s="101"/>
    </row>
    <row r="198" ht="15.75" customHeight="1">
      <c r="A198" s="114">
        <v>26.0</v>
      </c>
      <c r="B198" s="23" t="s">
        <v>295</v>
      </c>
      <c r="C198" s="23" t="s">
        <v>12</v>
      </c>
      <c r="D198" s="23">
        <v>4.0</v>
      </c>
      <c r="E198" s="23" t="s">
        <v>63</v>
      </c>
      <c r="F198" s="25" t="s">
        <v>296</v>
      </c>
      <c r="G198" s="26">
        <v>45908.0</v>
      </c>
      <c r="H198" s="79">
        <v>45912.0</v>
      </c>
      <c r="J198" s="101"/>
    </row>
    <row r="199" ht="15.75" customHeight="1">
      <c r="A199" s="22">
        <v>26.0</v>
      </c>
      <c r="B199" s="23" t="s">
        <v>297</v>
      </c>
      <c r="C199" s="23" t="s">
        <v>12</v>
      </c>
      <c r="D199" s="23">
        <v>7.0</v>
      </c>
      <c r="E199" s="23" t="s">
        <v>63</v>
      </c>
      <c r="F199" s="25" t="s">
        <v>298</v>
      </c>
      <c r="G199" s="26">
        <v>45910.0</v>
      </c>
      <c r="H199" s="79">
        <v>45914.0</v>
      </c>
      <c r="J199" s="101"/>
    </row>
    <row r="200" ht="15.75" customHeight="1">
      <c r="A200" s="22">
        <v>26.0</v>
      </c>
      <c r="B200" s="23" t="s">
        <v>299</v>
      </c>
      <c r="C200" s="23" t="s">
        <v>12</v>
      </c>
      <c r="D200" s="23">
        <v>3.0</v>
      </c>
      <c r="E200" s="23" t="s">
        <v>63</v>
      </c>
      <c r="F200" s="25" t="s">
        <v>300</v>
      </c>
      <c r="G200" s="26">
        <v>45910.0</v>
      </c>
      <c r="H200" s="79">
        <v>45914.0</v>
      </c>
      <c r="J200" s="101"/>
    </row>
    <row r="201" ht="15.75" customHeight="1">
      <c r="A201" s="22">
        <v>26.0</v>
      </c>
      <c r="B201" s="23" t="s">
        <v>301</v>
      </c>
      <c r="C201" s="23" t="s">
        <v>12</v>
      </c>
      <c r="D201" s="23">
        <v>3.0</v>
      </c>
      <c r="E201" s="23" t="s">
        <v>63</v>
      </c>
      <c r="F201" s="25" t="s">
        <v>302</v>
      </c>
      <c r="G201" s="26">
        <v>45910.0</v>
      </c>
      <c r="H201" s="79">
        <v>45914.0</v>
      </c>
      <c r="J201" s="101"/>
    </row>
    <row r="202" ht="15.75" customHeight="1">
      <c r="A202" s="22">
        <v>26.0</v>
      </c>
      <c r="B202" s="23" t="s">
        <v>303</v>
      </c>
      <c r="C202" s="23" t="s">
        <v>12</v>
      </c>
      <c r="D202" s="23">
        <v>3.0</v>
      </c>
      <c r="E202" s="23" t="s">
        <v>63</v>
      </c>
      <c r="F202" s="115" t="s">
        <v>304</v>
      </c>
      <c r="G202" s="26">
        <v>45911.0</v>
      </c>
      <c r="H202" s="79">
        <v>45926.0</v>
      </c>
      <c r="J202" s="101"/>
    </row>
    <row r="203" ht="15.75" customHeight="1">
      <c r="A203" s="3" t="s">
        <v>25</v>
      </c>
      <c r="B203" s="4"/>
      <c r="C203" s="4"/>
      <c r="D203" s="4"/>
      <c r="E203" s="4"/>
      <c r="F203" s="5"/>
      <c r="G203" s="3" t="s">
        <v>2</v>
      </c>
      <c r="H203" s="5"/>
      <c r="J203" s="101"/>
    </row>
    <row r="204" ht="15.75" customHeight="1">
      <c r="A204" s="3" t="s">
        <v>3</v>
      </c>
      <c r="B204" s="4" t="s">
        <v>4</v>
      </c>
      <c r="C204" s="4" t="s">
        <v>5</v>
      </c>
      <c r="D204" s="4" t="s">
        <v>6</v>
      </c>
      <c r="E204" s="4" t="s">
        <v>7</v>
      </c>
      <c r="F204" s="6" t="s">
        <v>8</v>
      </c>
      <c r="G204" s="3" t="s">
        <v>9</v>
      </c>
      <c r="H204" s="5" t="s">
        <v>10</v>
      </c>
      <c r="J204" s="101"/>
    </row>
    <row r="205" ht="15.75" customHeight="1">
      <c r="A205" s="80" t="s">
        <v>305</v>
      </c>
      <c r="B205" s="29" t="s">
        <v>133</v>
      </c>
      <c r="C205" s="29" t="s">
        <v>145</v>
      </c>
      <c r="D205" s="29">
        <v>6.0</v>
      </c>
      <c r="E205" s="29" t="s">
        <v>63</v>
      </c>
      <c r="F205" s="31" t="s">
        <v>306</v>
      </c>
      <c r="G205" s="32">
        <v>45905.0</v>
      </c>
      <c r="H205" s="81">
        <v>45908.0</v>
      </c>
      <c r="J205" s="101"/>
    </row>
    <row r="206" ht="15.75" customHeight="1">
      <c r="A206" s="28">
        <v>27.0</v>
      </c>
      <c r="B206" s="29" t="s">
        <v>136</v>
      </c>
      <c r="C206" s="29" t="s">
        <v>12</v>
      </c>
      <c r="D206" s="29">
        <v>4.0</v>
      </c>
      <c r="E206" s="29" t="s">
        <v>63</v>
      </c>
      <c r="F206" s="31" t="s">
        <v>307</v>
      </c>
      <c r="G206" s="32">
        <v>45908.0</v>
      </c>
      <c r="H206" s="81">
        <v>45912.0</v>
      </c>
      <c r="J206" s="101"/>
    </row>
    <row r="207" ht="15.75" customHeight="1">
      <c r="A207" s="28">
        <v>27.0</v>
      </c>
      <c r="B207" s="29" t="s">
        <v>308</v>
      </c>
      <c r="C207" s="29" t="s">
        <v>12</v>
      </c>
      <c r="D207" s="29">
        <v>5.0</v>
      </c>
      <c r="E207" s="29" t="s">
        <v>63</v>
      </c>
      <c r="F207" s="31" t="s">
        <v>309</v>
      </c>
      <c r="G207" s="32">
        <v>45910.0</v>
      </c>
      <c r="H207" s="81">
        <v>45914.0</v>
      </c>
      <c r="J207" s="101"/>
    </row>
    <row r="208" ht="15.75" customHeight="1">
      <c r="A208" s="28">
        <v>27.0</v>
      </c>
      <c r="B208" s="29" t="s">
        <v>310</v>
      </c>
      <c r="C208" s="29" t="s">
        <v>12</v>
      </c>
      <c r="D208" s="29">
        <v>4.0</v>
      </c>
      <c r="E208" s="29" t="s">
        <v>63</v>
      </c>
      <c r="F208" s="31" t="s">
        <v>311</v>
      </c>
      <c r="G208" s="32">
        <v>45910.0</v>
      </c>
      <c r="H208" s="81">
        <v>45914.0</v>
      </c>
      <c r="J208" s="101"/>
    </row>
    <row r="209" ht="15.75" customHeight="1">
      <c r="A209" s="28">
        <v>27.0</v>
      </c>
      <c r="B209" s="29" t="s">
        <v>312</v>
      </c>
      <c r="C209" s="29" t="s">
        <v>12</v>
      </c>
      <c r="D209" s="29">
        <v>3.0</v>
      </c>
      <c r="E209" s="29" t="s">
        <v>63</v>
      </c>
      <c r="F209" s="34" t="s">
        <v>313</v>
      </c>
      <c r="G209" s="32">
        <v>45910.0</v>
      </c>
      <c r="H209" s="81">
        <v>45914.0</v>
      </c>
      <c r="J209" s="101"/>
    </row>
    <row r="210" ht="15.75" customHeight="1">
      <c r="A210" s="3" t="s">
        <v>25</v>
      </c>
      <c r="B210" s="4"/>
      <c r="C210" s="4"/>
      <c r="D210" s="4"/>
      <c r="E210" s="4"/>
      <c r="F210" s="5"/>
      <c r="G210" s="3" t="s">
        <v>2</v>
      </c>
      <c r="H210" s="5"/>
      <c r="J210" s="101"/>
    </row>
    <row r="211" ht="15.75" customHeight="1">
      <c r="A211" s="3" t="s">
        <v>3</v>
      </c>
      <c r="B211" s="4" t="s">
        <v>4</v>
      </c>
      <c r="C211" s="4" t="s">
        <v>5</v>
      </c>
      <c r="D211" s="4" t="s">
        <v>6</v>
      </c>
      <c r="E211" s="4" t="s">
        <v>7</v>
      </c>
      <c r="F211" s="6" t="s">
        <v>8</v>
      </c>
      <c r="G211" s="3" t="s">
        <v>9</v>
      </c>
      <c r="H211" s="5" t="s">
        <v>10</v>
      </c>
      <c r="J211" s="101"/>
    </row>
    <row r="212" ht="15.75" customHeight="1">
      <c r="A212" s="102" t="s">
        <v>314</v>
      </c>
      <c r="B212" s="36" t="s">
        <v>315</v>
      </c>
      <c r="C212" s="36" t="s">
        <v>134</v>
      </c>
      <c r="D212" s="36">
        <v>7.0</v>
      </c>
      <c r="E212" s="36" t="s">
        <v>63</v>
      </c>
      <c r="F212" s="38" t="s">
        <v>316</v>
      </c>
      <c r="G212" s="39">
        <v>45905.0</v>
      </c>
      <c r="H212" s="83">
        <v>45908.0</v>
      </c>
      <c r="J212" s="101"/>
    </row>
    <row r="213" ht="15.75" customHeight="1">
      <c r="A213" s="116">
        <v>28.0</v>
      </c>
      <c r="B213" s="36" t="s">
        <v>317</v>
      </c>
      <c r="C213" s="36" t="s">
        <v>12</v>
      </c>
      <c r="D213" s="36">
        <v>3.0</v>
      </c>
      <c r="E213" s="36" t="s">
        <v>63</v>
      </c>
      <c r="F213" s="38" t="s">
        <v>318</v>
      </c>
      <c r="G213" s="39">
        <v>45908.0</v>
      </c>
      <c r="H213" s="83">
        <v>45912.0</v>
      </c>
      <c r="J213" s="101"/>
    </row>
    <row r="214" ht="15.75" customHeight="1">
      <c r="A214" s="103">
        <v>28.0</v>
      </c>
      <c r="B214" s="36" t="s">
        <v>319</v>
      </c>
      <c r="C214" s="36" t="s">
        <v>12</v>
      </c>
      <c r="D214" s="36">
        <v>5.0</v>
      </c>
      <c r="E214" s="36" t="s">
        <v>63</v>
      </c>
      <c r="F214" s="38" t="s">
        <v>320</v>
      </c>
      <c r="G214" s="39">
        <v>45910.0</v>
      </c>
      <c r="H214" s="83">
        <v>45914.0</v>
      </c>
      <c r="J214" s="101"/>
    </row>
    <row r="215" ht="15.75" customHeight="1">
      <c r="A215" s="103">
        <v>28.0</v>
      </c>
      <c r="B215" s="36" t="s">
        <v>321</v>
      </c>
      <c r="C215" s="36" t="s">
        <v>12</v>
      </c>
      <c r="D215" s="36">
        <v>3.0</v>
      </c>
      <c r="E215" s="36" t="s">
        <v>63</v>
      </c>
      <c r="F215" s="38" t="s">
        <v>322</v>
      </c>
      <c r="G215" s="39">
        <v>45910.0</v>
      </c>
      <c r="H215" s="83">
        <v>45914.0</v>
      </c>
      <c r="J215" s="101"/>
    </row>
    <row r="216" ht="15.75" customHeight="1">
      <c r="A216" s="103">
        <v>28.0</v>
      </c>
      <c r="B216" s="36" t="s">
        <v>323</v>
      </c>
      <c r="C216" s="36" t="s">
        <v>12</v>
      </c>
      <c r="D216" s="36">
        <v>2.0</v>
      </c>
      <c r="E216" s="36" t="s">
        <v>63</v>
      </c>
      <c r="F216" s="38" t="s">
        <v>324</v>
      </c>
      <c r="G216" s="39">
        <v>45911.0</v>
      </c>
      <c r="H216" s="83">
        <v>45926.0</v>
      </c>
      <c r="J216" s="101"/>
    </row>
    <row r="217" ht="15.75" customHeight="1">
      <c r="A217" s="3" t="s">
        <v>25</v>
      </c>
      <c r="B217" s="4"/>
      <c r="C217" s="4"/>
      <c r="D217" s="4"/>
      <c r="E217" s="4"/>
      <c r="F217" s="5"/>
      <c r="G217" s="3" t="s">
        <v>2</v>
      </c>
      <c r="H217" s="5"/>
      <c r="J217" s="101"/>
    </row>
    <row r="218" ht="15.75" customHeight="1">
      <c r="A218" s="3" t="s">
        <v>3</v>
      </c>
      <c r="B218" s="4" t="s">
        <v>4</v>
      </c>
      <c r="C218" s="4" t="s">
        <v>5</v>
      </c>
      <c r="D218" s="4" t="s">
        <v>6</v>
      </c>
      <c r="E218" s="4" t="s">
        <v>7</v>
      </c>
      <c r="F218" s="6" t="s">
        <v>8</v>
      </c>
      <c r="G218" s="3" t="s">
        <v>9</v>
      </c>
      <c r="H218" s="5" t="s">
        <v>10</v>
      </c>
      <c r="J218" s="101"/>
    </row>
    <row r="219" ht="15.75" customHeight="1">
      <c r="A219" s="117" t="s">
        <v>325</v>
      </c>
      <c r="B219" s="43" t="s">
        <v>133</v>
      </c>
      <c r="C219" s="43" t="s">
        <v>134</v>
      </c>
      <c r="D219" s="43">
        <v>9.0</v>
      </c>
      <c r="E219" s="43" t="s">
        <v>63</v>
      </c>
      <c r="F219" s="45" t="s">
        <v>326</v>
      </c>
      <c r="G219" s="46">
        <v>45905.0</v>
      </c>
      <c r="H219" s="87">
        <v>45908.0</v>
      </c>
      <c r="J219" s="101"/>
    </row>
    <row r="220" ht="15.75" customHeight="1">
      <c r="A220" s="118">
        <v>29.0</v>
      </c>
      <c r="B220" s="43" t="s">
        <v>327</v>
      </c>
      <c r="C220" s="43" t="s">
        <v>12</v>
      </c>
      <c r="D220" s="43">
        <v>4.0</v>
      </c>
      <c r="E220" s="43" t="s">
        <v>63</v>
      </c>
      <c r="F220" s="45" t="s">
        <v>328</v>
      </c>
      <c r="G220" s="46">
        <v>45908.0</v>
      </c>
      <c r="H220" s="87">
        <v>45913.0</v>
      </c>
      <c r="J220" s="101"/>
    </row>
    <row r="221" ht="15.75" customHeight="1">
      <c r="A221" s="118">
        <v>29.0</v>
      </c>
      <c r="B221" s="43" t="s">
        <v>329</v>
      </c>
      <c r="C221" s="43" t="s">
        <v>12</v>
      </c>
      <c r="D221" s="43">
        <v>8.0</v>
      </c>
      <c r="E221" s="43" t="s">
        <v>63</v>
      </c>
      <c r="F221" s="45" t="s">
        <v>330</v>
      </c>
      <c r="G221" s="46">
        <v>45910.0</v>
      </c>
      <c r="H221" s="87">
        <v>45914.0</v>
      </c>
      <c r="J221" s="101"/>
    </row>
    <row r="222" ht="15.75" customHeight="1">
      <c r="A222" s="118">
        <v>29.0</v>
      </c>
      <c r="B222" s="43" t="s">
        <v>331</v>
      </c>
      <c r="C222" s="43" t="s">
        <v>12</v>
      </c>
      <c r="D222" s="43">
        <v>5.0</v>
      </c>
      <c r="E222" s="43" t="s">
        <v>63</v>
      </c>
      <c r="F222" s="45" t="s">
        <v>332</v>
      </c>
      <c r="G222" s="46">
        <v>45910.0</v>
      </c>
      <c r="H222" s="87">
        <v>45914.0</v>
      </c>
      <c r="J222" s="101"/>
    </row>
    <row r="223" ht="15.75" customHeight="1">
      <c r="A223" s="118">
        <v>29.0</v>
      </c>
      <c r="B223" s="43" t="s">
        <v>333</v>
      </c>
      <c r="C223" s="43" t="s">
        <v>12</v>
      </c>
      <c r="D223" s="43">
        <v>4.0</v>
      </c>
      <c r="E223" s="43" t="s">
        <v>63</v>
      </c>
      <c r="F223" s="50" t="s">
        <v>334</v>
      </c>
      <c r="G223" s="46">
        <v>45910.0</v>
      </c>
      <c r="H223" s="87">
        <v>45926.0</v>
      </c>
      <c r="J223" s="101"/>
    </row>
    <row r="224" ht="15.75" customHeight="1">
      <c r="A224" s="3" t="s">
        <v>25</v>
      </c>
      <c r="B224" s="4"/>
      <c r="C224" s="4"/>
      <c r="D224" s="4"/>
      <c r="E224" s="4"/>
      <c r="F224" s="5"/>
      <c r="G224" s="3" t="s">
        <v>2</v>
      </c>
      <c r="H224" s="5"/>
      <c r="J224" s="101"/>
    </row>
    <row r="225" ht="15.75" customHeight="1">
      <c r="A225" s="3" t="s">
        <v>3</v>
      </c>
      <c r="B225" s="4" t="s">
        <v>4</v>
      </c>
      <c r="C225" s="4" t="s">
        <v>5</v>
      </c>
      <c r="D225" s="4" t="s">
        <v>6</v>
      </c>
      <c r="E225" s="4" t="s">
        <v>7</v>
      </c>
      <c r="F225" s="6" t="s">
        <v>8</v>
      </c>
      <c r="G225" s="3" t="s">
        <v>9</v>
      </c>
      <c r="H225" s="5" t="s">
        <v>10</v>
      </c>
      <c r="J225" s="101"/>
    </row>
    <row r="226" ht="15.75" customHeight="1">
      <c r="A226" s="76" t="s">
        <v>335</v>
      </c>
      <c r="B226" s="16" t="s">
        <v>133</v>
      </c>
      <c r="C226" s="16" t="s">
        <v>134</v>
      </c>
      <c r="D226" s="16">
        <v>8.0</v>
      </c>
      <c r="E226" s="16" t="s">
        <v>63</v>
      </c>
      <c r="F226" s="18" t="s">
        <v>326</v>
      </c>
      <c r="G226" s="19">
        <v>45905.0</v>
      </c>
      <c r="H226" s="77">
        <v>45908.0</v>
      </c>
      <c r="J226" s="101"/>
    </row>
    <row r="227" ht="15.75" customHeight="1">
      <c r="A227" s="15">
        <v>31.0</v>
      </c>
      <c r="B227" s="16" t="s">
        <v>327</v>
      </c>
      <c r="C227" s="16" t="s">
        <v>12</v>
      </c>
      <c r="D227" s="16">
        <v>4.0</v>
      </c>
      <c r="E227" s="16" t="s">
        <v>63</v>
      </c>
      <c r="F227" s="18" t="s">
        <v>328</v>
      </c>
      <c r="G227" s="19">
        <v>45908.0</v>
      </c>
      <c r="H227" s="77">
        <v>45912.0</v>
      </c>
      <c r="J227" s="101"/>
    </row>
    <row r="228" ht="15.75" customHeight="1">
      <c r="A228" s="15">
        <v>31.0</v>
      </c>
      <c r="B228" s="16" t="s">
        <v>329</v>
      </c>
      <c r="C228" s="16" t="s">
        <v>12</v>
      </c>
      <c r="D228" s="16">
        <v>7.0</v>
      </c>
      <c r="E228" s="16" t="s">
        <v>63</v>
      </c>
      <c r="F228" s="18" t="s">
        <v>330</v>
      </c>
      <c r="G228" s="19">
        <v>45910.0</v>
      </c>
      <c r="H228" s="77">
        <v>45914.0</v>
      </c>
      <c r="J228" s="101"/>
    </row>
    <row r="229" ht="15.75" customHeight="1">
      <c r="A229" s="15">
        <v>31.0</v>
      </c>
      <c r="B229" s="16" t="s">
        <v>336</v>
      </c>
      <c r="C229" s="16" t="s">
        <v>12</v>
      </c>
      <c r="D229" s="16">
        <v>3.0</v>
      </c>
      <c r="E229" s="16" t="s">
        <v>63</v>
      </c>
      <c r="F229" s="18" t="s">
        <v>337</v>
      </c>
      <c r="G229" s="19">
        <v>45910.0</v>
      </c>
      <c r="H229" s="77">
        <v>45914.0</v>
      </c>
      <c r="J229" s="101"/>
    </row>
    <row r="230" ht="15.75" customHeight="1">
      <c r="A230" s="15">
        <v>31.0</v>
      </c>
      <c r="B230" s="16" t="s">
        <v>338</v>
      </c>
      <c r="C230" s="16" t="s">
        <v>12</v>
      </c>
      <c r="D230" s="16">
        <v>2.0</v>
      </c>
      <c r="E230" s="16" t="s">
        <v>63</v>
      </c>
      <c r="F230" s="21" t="s">
        <v>339</v>
      </c>
      <c r="G230" s="19">
        <v>45910.0</v>
      </c>
      <c r="H230" s="77">
        <v>45926.0</v>
      </c>
      <c r="J230" s="101"/>
    </row>
    <row r="231" ht="15.75" customHeight="1">
      <c r="A231" s="3" t="s">
        <v>25</v>
      </c>
      <c r="B231" s="4"/>
      <c r="C231" s="4"/>
      <c r="D231" s="4"/>
      <c r="E231" s="4"/>
      <c r="F231" s="5"/>
      <c r="G231" s="3" t="s">
        <v>2</v>
      </c>
      <c r="H231" s="5"/>
      <c r="J231" s="101"/>
    </row>
    <row r="232" ht="15.75" customHeight="1">
      <c r="A232" s="3" t="s">
        <v>3</v>
      </c>
      <c r="B232" s="4" t="s">
        <v>4</v>
      </c>
      <c r="C232" s="4" t="s">
        <v>5</v>
      </c>
      <c r="D232" s="4" t="s">
        <v>6</v>
      </c>
      <c r="E232" s="4" t="s">
        <v>7</v>
      </c>
      <c r="F232" s="6" t="s">
        <v>8</v>
      </c>
      <c r="G232" s="3" t="s">
        <v>9</v>
      </c>
      <c r="H232" s="5" t="s">
        <v>10</v>
      </c>
      <c r="J232" s="101"/>
    </row>
    <row r="233" ht="15.75" customHeight="1">
      <c r="A233" s="97" t="s">
        <v>340</v>
      </c>
      <c r="B233" s="66" t="s">
        <v>133</v>
      </c>
      <c r="C233" s="66" t="s">
        <v>134</v>
      </c>
      <c r="D233" s="66">
        <v>5.0</v>
      </c>
      <c r="E233" s="66" t="s">
        <v>63</v>
      </c>
      <c r="F233" s="68" t="s">
        <v>341</v>
      </c>
      <c r="G233" s="69">
        <v>45905.0</v>
      </c>
      <c r="H233" s="98">
        <v>45908.0</v>
      </c>
      <c r="J233" s="101"/>
    </row>
    <row r="234" ht="15.75" customHeight="1">
      <c r="A234" s="65">
        <v>33.0</v>
      </c>
      <c r="B234" s="66" t="s">
        <v>342</v>
      </c>
      <c r="C234" s="66" t="s">
        <v>12</v>
      </c>
      <c r="D234" s="66">
        <v>3.0</v>
      </c>
      <c r="E234" s="66" t="s">
        <v>63</v>
      </c>
      <c r="F234" s="68" t="s">
        <v>343</v>
      </c>
      <c r="G234" s="69">
        <v>45908.0</v>
      </c>
      <c r="H234" s="98">
        <v>45912.0</v>
      </c>
      <c r="J234" s="101"/>
    </row>
    <row r="235" ht="15.75" customHeight="1">
      <c r="A235" s="65">
        <v>33.0</v>
      </c>
      <c r="B235" s="66" t="s">
        <v>344</v>
      </c>
      <c r="C235" s="66" t="s">
        <v>12</v>
      </c>
      <c r="D235" s="66">
        <v>3.0</v>
      </c>
      <c r="E235" s="66" t="s">
        <v>63</v>
      </c>
      <c r="F235" s="68" t="s">
        <v>345</v>
      </c>
      <c r="G235" s="69">
        <v>45910.0</v>
      </c>
      <c r="H235" s="98">
        <v>45914.0</v>
      </c>
      <c r="J235" s="101"/>
    </row>
    <row r="236" ht="15.75" customHeight="1">
      <c r="A236" s="65">
        <v>33.0</v>
      </c>
      <c r="B236" s="119" t="s">
        <v>346</v>
      </c>
      <c r="C236" s="66" t="s">
        <v>12</v>
      </c>
      <c r="D236" s="66">
        <v>6.0</v>
      </c>
      <c r="E236" s="66" t="s">
        <v>63</v>
      </c>
      <c r="F236" s="68" t="s">
        <v>347</v>
      </c>
      <c r="G236" s="69">
        <v>45910.0</v>
      </c>
      <c r="H236" s="98">
        <v>45914.0</v>
      </c>
      <c r="J236" s="101"/>
    </row>
    <row r="237" ht="15.75" customHeight="1">
      <c r="A237" s="65">
        <v>33.0</v>
      </c>
      <c r="B237" s="66" t="s">
        <v>348</v>
      </c>
      <c r="C237" s="66" t="s">
        <v>12</v>
      </c>
      <c r="D237" s="66">
        <v>5.0</v>
      </c>
      <c r="E237" s="66" t="s">
        <v>63</v>
      </c>
      <c r="F237" s="68" t="s">
        <v>349</v>
      </c>
      <c r="G237" s="69">
        <v>45910.0</v>
      </c>
      <c r="H237" s="98">
        <v>45914.0</v>
      </c>
      <c r="J237" s="101"/>
    </row>
    <row r="238" ht="15.75" customHeight="1">
      <c r="A238" s="65">
        <v>33.0</v>
      </c>
      <c r="B238" s="66" t="s">
        <v>350</v>
      </c>
      <c r="C238" s="66" t="s">
        <v>12</v>
      </c>
      <c r="D238" s="66">
        <v>3.0</v>
      </c>
      <c r="E238" s="66" t="s">
        <v>63</v>
      </c>
      <c r="F238" s="100" t="s">
        <v>351</v>
      </c>
      <c r="G238" s="69">
        <v>45911.0</v>
      </c>
      <c r="H238" s="98">
        <v>45926.0</v>
      </c>
      <c r="J238" s="101"/>
    </row>
    <row r="239" ht="15.75" customHeight="1">
      <c r="A239" s="3" t="s">
        <v>25</v>
      </c>
      <c r="B239" s="4"/>
      <c r="C239" s="4"/>
      <c r="D239" s="4"/>
      <c r="E239" s="4"/>
      <c r="F239" s="5"/>
      <c r="G239" s="3" t="s">
        <v>2</v>
      </c>
      <c r="H239" s="5"/>
      <c r="J239" s="120"/>
    </row>
    <row r="240" ht="15.75" customHeight="1">
      <c r="A240" s="3" t="s">
        <v>3</v>
      </c>
      <c r="B240" s="4" t="s">
        <v>4</v>
      </c>
      <c r="C240" s="4" t="s">
        <v>5</v>
      </c>
      <c r="D240" s="4" t="s">
        <v>6</v>
      </c>
      <c r="E240" s="4" t="s">
        <v>7</v>
      </c>
      <c r="F240" s="6" t="s">
        <v>8</v>
      </c>
      <c r="G240" s="3" t="s">
        <v>9</v>
      </c>
      <c r="H240" s="5" t="s">
        <v>10</v>
      </c>
      <c r="J240" s="120"/>
    </row>
    <row r="241" ht="15.75" customHeight="1">
      <c r="A241" s="105" t="s">
        <v>352</v>
      </c>
      <c r="B241" s="106" t="s">
        <v>133</v>
      </c>
      <c r="C241" s="106" t="s">
        <v>134</v>
      </c>
      <c r="D241" s="106">
        <v>6.0</v>
      </c>
      <c r="E241" s="106" t="s">
        <v>63</v>
      </c>
      <c r="F241" s="107" t="s">
        <v>353</v>
      </c>
      <c r="G241" s="108">
        <v>45912.0</v>
      </c>
      <c r="H241" s="109">
        <v>45915.0</v>
      </c>
      <c r="J241" s="120"/>
    </row>
    <row r="242" ht="15.75" customHeight="1">
      <c r="A242" s="111">
        <v>36.0</v>
      </c>
      <c r="B242" s="106" t="s">
        <v>354</v>
      </c>
      <c r="C242" s="106" t="s">
        <v>12</v>
      </c>
      <c r="D242" s="106">
        <v>3.0</v>
      </c>
      <c r="E242" s="106" t="s">
        <v>63</v>
      </c>
      <c r="F242" s="107" t="s">
        <v>355</v>
      </c>
      <c r="G242" s="108">
        <v>45915.0</v>
      </c>
      <c r="H242" s="109">
        <v>45919.0</v>
      </c>
      <c r="J242" s="120"/>
    </row>
    <row r="243" ht="15.75" customHeight="1">
      <c r="A243" s="111">
        <v>36.0</v>
      </c>
      <c r="B243" s="106" t="s">
        <v>356</v>
      </c>
      <c r="C243" s="106" t="s">
        <v>12</v>
      </c>
      <c r="D243" s="106">
        <v>5.0</v>
      </c>
      <c r="E243" s="106" t="s">
        <v>63</v>
      </c>
      <c r="F243" s="107" t="s">
        <v>357</v>
      </c>
      <c r="G243" s="108">
        <v>45917.0</v>
      </c>
      <c r="H243" s="109">
        <v>45921.0</v>
      </c>
      <c r="J243" s="120"/>
    </row>
    <row r="244" ht="15.75" customHeight="1">
      <c r="A244" s="111">
        <v>36.0</v>
      </c>
      <c r="B244" s="106" t="s">
        <v>358</v>
      </c>
      <c r="C244" s="106" t="s">
        <v>12</v>
      </c>
      <c r="D244" s="106">
        <v>2.0</v>
      </c>
      <c r="E244" s="106" t="s">
        <v>63</v>
      </c>
      <c r="F244" s="107" t="s">
        <v>359</v>
      </c>
      <c r="G244" s="108">
        <v>45917.0</v>
      </c>
      <c r="H244" s="109">
        <v>45921.0</v>
      </c>
      <c r="J244" s="120"/>
    </row>
    <row r="245" ht="15.75" customHeight="1">
      <c r="A245" s="111">
        <v>36.0</v>
      </c>
      <c r="B245" s="106" t="s">
        <v>360</v>
      </c>
      <c r="C245" s="106" t="s">
        <v>12</v>
      </c>
      <c r="D245" s="106">
        <v>2.0</v>
      </c>
      <c r="E245" s="106" t="s">
        <v>63</v>
      </c>
      <c r="F245" s="107" t="s">
        <v>361</v>
      </c>
      <c r="G245" s="108">
        <v>45917.0</v>
      </c>
      <c r="H245" s="109">
        <v>45921.0</v>
      </c>
      <c r="J245" s="120"/>
    </row>
    <row r="246" ht="15.75" customHeight="1">
      <c r="A246" s="111">
        <v>36.0</v>
      </c>
      <c r="B246" s="106" t="s">
        <v>362</v>
      </c>
      <c r="C246" s="106" t="s">
        <v>12</v>
      </c>
      <c r="D246" s="106">
        <v>3.0</v>
      </c>
      <c r="E246" s="106" t="s">
        <v>63</v>
      </c>
      <c r="F246" s="112" t="s">
        <v>363</v>
      </c>
      <c r="G246" s="108">
        <v>45917.0</v>
      </c>
      <c r="H246" s="109">
        <v>45928.0</v>
      </c>
      <c r="J246" s="120"/>
    </row>
    <row r="247" ht="15.75" customHeight="1">
      <c r="A247" s="3" t="s">
        <v>25</v>
      </c>
      <c r="B247" s="4"/>
      <c r="C247" s="4"/>
      <c r="D247" s="4"/>
      <c r="E247" s="4"/>
      <c r="F247" s="5"/>
      <c r="G247" s="3" t="s">
        <v>2</v>
      </c>
      <c r="H247" s="5"/>
      <c r="J247" s="120"/>
    </row>
    <row r="248" ht="15.75" customHeight="1">
      <c r="A248" s="3" t="s">
        <v>3</v>
      </c>
      <c r="B248" s="4" t="s">
        <v>4</v>
      </c>
      <c r="C248" s="4" t="s">
        <v>5</v>
      </c>
      <c r="D248" s="4" t="s">
        <v>6</v>
      </c>
      <c r="E248" s="4" t="s">
        <v>7</v>
      </c>
      <c r="F248" s="6" t="s">
        <v>8</v>
      </c>
      <c r="G248" s="3" t="s">
        <v>9</v>
      </c>
      <c r="H248" s="5" t="s">
        <v>10</v>
      </c>
      <c r="J248" s="120"/>
    </row>
    <row r="249" ht="15.75" customHeight="1">
      <c r="A249" s="91" t="s">
        <v>364</v>
      </c>
      <c r="B249" s="60" t="s">
        <v>133</v>
      </c>
      <c r="C249" s="60" t="s">
        <v>134</v>
      </c>
      <c r="D249" s="60">
        <v>6.0</v>
      </c>
      <c r="E249" s="60" t="s">
        <v>63</v>
      </c>
      <c r="F249" s="62" t="s">
        <v>365</v>
      </c>
      <c r="G249" s="63">
        <v>45912.0</v>
      </c>
      <c r="H249" s="92">
        <v>45915.0</v>
      </c>
      <c r="J249" s="120"/>
    </row>
    <row r="250" ht="15.75" customHeight="1">
      <c r="A250" s="59">
        <v>37.0</v>
      </c>
      <c r="B250" s="60" t="s">
        <v>366</v>
      </c>
      <c r="C250" s="60" t="s">
        <v>12</v>
      </c>
      <c r="D250" s="60">
        <v>2.0</v>
      </c>
      <c r="E250" s="60" t="s">
        <v>63</v>
      </c>
      <c r="F250" s="62" t="s">
        <v>367</v>
      </c>
      <c r="G250" s="63">
        <v>45915.0</v>
      </c>
      <c r="H250" s="92">
        <v>45919.0</v>
      </c>
      <c r="J250" s="120"/>
    </row>
    <row r="251" ht="15.75" customHeight="1">
      <c r="A251" s="59">
        <v>37.0</v>
      </c>
      <c r="B251" s="60" t="s">
        <v>368</v>
      </c>
      <c r="C251" s="60" t="s">
        <v>12</v>
      </c>
      <c r="D251" s="60">
        <v>3.0</v>
      </c>
      <c r="E251" s="60" t="s">
        <v>63</v>
      </c>
      <c r="F251" s="62" t="s">
        <v>369</v>
      </c>
      <c r="G251" s="63">
        <v>45917.0</v>
      </c>
      <c r="H251" s="92">
        <v>45921.0</v>
      </c>
      <c r="J251" s="120"/>
    </row>
    <row r="252" ht="15.75" customHeight="1">
      <c r="A252" s="59">
        <v>37.0</v>
      </c>
      <c r="B252" s="60" t="s">
        <v>370</v>
      </c>
      <c r="C252" s="60" t="s">
        <v>12</v>
      </c>
      <c r="D252" s="60">
        <v>3.0</v>
      </c>
      <c r="E252" s="60" t="s">
        <v>63</v>
      </c>
      <c r="F252" s="62" t="s">
        <v>371</v>
      </c>
      <c r="G252" s="63">
        <v>45917.0</v>
      </c>
      <c r="H252" s="92">
        <v>45921.0</v>
      </c>
      <c r="J252" s="120"/>
    </row>
    <row r="253" ht="15.75" customHeight="1">
      <c r="A253" s="59">
        <v>37.0</v>
      </c>
      <c r="B253" s="60" t="s">
        <v>372</v>
      </c>
      <c r="C253" s="60" t="s">
        <v>12</v>
      </c>
      <c r="D253" s="60">
        <v>4.0</v>
      </c>
      <c r="E253" s="60" t="s">
        <v>63</v>
      </c>
      <c r="F253" s="93" t="s">
        <v>373</v>
      </c>
      <c r="G253" s="63">
        <v>45917.0</v>
      </c>
      <c r="H253" s="92">
        <v>45928.0</v>
      </c>
      <c r="J253" s="120"/>
    </row>
    <row r="254" ht="15.75" customHeight="1">
      <c r="A254" s="3" t="s">
        <v>25</v>
      </c>
      <c r="B254" s="4"/>
      <c r="C254" s="4"/>
      <c r="D254" s="4"/>
      <c r="E254" s="4"/>
      <c r="F254" s="5"/>
      <c r="G254" s="3" t="s">
        <v>2</v>
      </c>
      <c r="H254" s="5"/>
      <c r="J254" s="120"/>
    </row>
    <row r="255" ht="15.75" customHeight="1">
      <c r="A255" s="3" t="s">
        <v>3</v>
      </c>
      <c r="B255" s="4" t="s">
        <v>4</v>
      </c>
      <c r="C255" s="4" t="s">
        <v>5</v>
      </c>
      <c r="D255" s="4" t="s">
        <v>6</v>
      </c>
      <c r="E255" s="4" t="s">
        <v>7</v>
      </c>
      <c r="F255" s="6" t="s">
        <v>8</v>
      </c>
      <c r="G255" s="3" t="s">
        <v>9</v>
      </c>
      <c r="H255" s="5" t="s">
        <v>10</v>
      </c>
      <c r="J255" s="120"/>
    </row>
    <row r="256" ht="15.75" customHeight="1">
      <c r="A256" s="121" t="s">
        <v>374</v>
      </c>
      <c r="B256" s="8" t="s">
        <v>133</v>
      </c>
      <c r="C256" s="9" t="s">
        <v>375</v>
      </c>
      <c r="D256" s="9">
        <v>9.0</v>
      </c>
      <c r="E256" s="9" t="s">
        <v>63</v>
      </c>
      <c r="F256" s="11" t="s">
        <v>376</v>
      </c>
      <c r="G256" s="12">
        <v>45912.0</v>
      </c>
      <c r="H256" s="73">
        <v>45901.0</v>
      </c>
      <c r="J256" s="120"/>
    </row>
    <row r="257" ht="15.75" customHeight="1">
      <c r="A257" s="10">
        <v>40.0</v>
      </c>
      <c r="B257" s="8" t="s">
        <v>377</v>
      </c>
      <c r="C257" s="9" t="s">
        <v>12</v>
      </c>
      <c r="D257" s="9">
        <v>6.0</v>
      </c>
      <c r="E257" s="9" t="s">
        <v>63</v>
      </c>
      <c r="F257" s="11" t="s">
        <v>378</v>
      </c>
      <c r="G257" s="12">
        <v>45915.0</v>
      </c>
      <c r="H257" s="73">
        <v>45901.0</v>
      </c>
      <c r="J257" s="120"/>
    </row>
    <row r="258" ht="15.75" customHeight="1">
      <c r="A258" s="10">
        <v>40.0</v>
      </c>
      <c r="B258" s="8" t="s">
        <v>379</v>
      </c>
      <c r="C258" s="9" t="s">
        <v>12</v>
      </c>
      <c r="D258" s="9">
        <v>9.0</v>
      </c>
      <c r="E258" s="9" t="s">
        <v>63</v>
      </c>
      <c r="F258" s="11" t="s">
        <v>380</v>
      </c>
      <c r="G258" s="12">
        <v>45917.0</v>
      </c>
      <c r="H258" s="73">
        <v>45901.0</v>
      </c>
      <c r="J258" s="120"/>
    </row>
    <row r="259" ht="15.75" customHeight="1">
      <c r="A259" s="10">
        <v>40.0</v>
      </c>
      <c r="B259" s="8" t="s">
        <v>381</v>
      </c>
      <c r="C259" s="9" t="s">
        <v>12</v>
      </c>
      <c r="D259" s="9">
        <v>3.0</v>
      </c>
      <c r="E259" s="9" t="s">
        <v>63</v>
      </c>
      <c r="F259" s="11" t="s">
        <v>382</v>
      </c>
      <c r="G259" s="12">
        <v>45917.0</v>
      </c>
      <c r="H259" s="73">
        <v>45901.0</v>
      </c>
      <c r="J259" s="120"/>
    </row>
    <row r="260" ht="15.75" customHeight="1">
      <c r="A260" s="10">
        <v>40.0</v>
      </c>
      <c r="B260" s="8" t="s">
        <v>383</v>
      </c>
      <c r="C260" s="9" t="s">
        <v>12</v>
      </c>
      <c r="D260" s="9">
        <v>4.0</v>
      </c>
      <c r="E260" s="9" t="s">
        <v>63</v>
      </c>
      <c r="F260" s="95" t="s">
        <v>384</v>
      </c>
      <c r="G260" s="12">
        <v>45917.0</v>
      </c>
      <c r="H260" s="75">
        <v>45928.0</v>
      </c>
      <c r="J260" s="120"/>
    </row>
    <row r="261" ht="15.75" customHeight="1">
      <c r="A261" s="3" t="s">
        <v>25</v>
      </c>
      <c r="B261" s="4"/>
      <c r="C261" s="4"/>
      <c r="D261" s="4"/>
      <c r="E261" s="4"/>
      <c r="F261" s="5"/>
      <c r="G261" s="3" t="s">
        <v>2</v>
      </c>
      <c r="H261" s="5"/>
      <c r="J261" s="120"/>
    </row>
    <row r="262" ht="15.75" customHeight="1">
      <c r="A262" s="3" t="s">
        <v>3</v>
      </c>
      <c r="B262" s="4" t="s">
        <v>4</v>
      </c>
      <c r="C262" s="4" t="s">
        <v>5</v>
      </c>
      <c r="D262" s="4" t="s">
        <v>6</v>
      </c>
      <c r="E262" s="4" t="s">
        <v>7</v>
      </c>
      <c r="F262" s="6" t="s">
        <v>8</v>
      </c>
      <c r="G262" s="3" t="s">
        <v>9</v>
      </c>
      <c r="H262" s="5" t="s">
        <v>10</v>
      </c>
      <c r="J262" s="120"/>
    </row>
    <row r="263" ht="15.75" customHeight="1">
      <c r="A263" s="78" t="s">
        <v>385</v>
      </c>
      <c r="B263" s="23" t="s">
        <v>133</v>
      </c>
      <c r="C263" s="23" t="s">
        <v>145</v>
      </c>
      <c r="D263" s="23">
        <v>5.0</v>
      </c>
      <c r="E263" s="23" t="s">
        <v>63</v>
      </c>
      <c r="F263" s="25" t="s">
        <v>386</v>
      </c>
      <c r="G263" s="26">
        <v>45912.0</v>
      </c>
      <c r="H263" s="79">
        <v>45915.0</v>
      </c>
      <c r="J263" s="120"/>
    </row>
    <row r="264" ht="15.75" customHeight="1">
      <c r="A264" s="22">
        <v>41.0</v>
      </c>
      <c r="B264" s="23" t="s">
        <v>387</v>
      </c>
      <c r="C264" s="23" t="s">
        <v>12</v>
      </c>
      <c r="D264" s="23">
        <v>6.0</v>
      </c>
      <c r="E264" s="23" t="s">
        <v>63</v>
      </c>
      <c r="F264" s="25" t="s">
        <v>388</v>
      </c>
      <c r="G264" s="26">
        <v>45915.0</v>
      </c>
      <c r="H264" s="79">
        <v>45919.0</v>
      </c>
      <c r="J264" s="120"/>
    </row>
    <row r="265" ht="15.75" customHeight="1">
      <c r="A265" s="22">
        <v>41.0</v>
      </c>
      <c r="B265" s="23" t="s">
        <v>389</v>
      </c>
      <c r="C265" s="23" t="s">
        <v>12</v>
      </c>
      <c r="D265" s="23">
        <v>3.0</v>
      </c>
      <c r="E265" s="23" t="s">
        <v>63</v>
      </c>
      <c r="F265" s="25" t="s">
        <v>390</v>
      </c>
      <c r="G265" s="26">
        <v>45917.0</v>
      </c>
      <c r="H265" s="79">
        <v>45921.0</v>
      </c>
      <c r="J265" s="120"/>
    </row>
    <row r="266" ht="15.75" customHeight="1">
      <c r="A266" s="22">
        <v>41.0</v>
      </c>
      <c r="B266" s="23" t="s">
        <v>391</v>
      </c>
      <c r="C266" s="23" t="s">
        <v>12</v>
      </c>
      <c r="D266" s="23">
        <v>3.0</v>
      </c>
      <c r="E266" s="23" t="s">
        <v>63</v>
      </c>
      <c r="F266" s="25" t="s">
        <v>392</v>
      </c>
      <c r="G266" s="26">
        <v>45917.0</v>
      </c>
      <c r="H266" s="79">
        <v>45921.0</v>
      </c>
      <c r="J266" s="120"/>
    </row>
    <row r="267" ht="15.75" customHeight="1">
      <c r="A267" s="22">
        <v>41.0</v>
      </c>
      <c r="B267" s="23" t="s">
        <v>268</v>
      </c>
      <c r="C267" s="23" t="s">
        <v>12</v>
      </c>
      <c r="D267" s="23">
        <v>2.0</v>
      </c>
      <c r="E267" s="23" t="s">
        <v>63</v>
      </c>
      <c r="F267" s="115" t="s">
        <v>393</v>
      </c>
      <c r="G267" s="26">
        <v>45917.0</v>
      </c>
      <c r="H267" s="79">
        <v>45928.0</v>
      </c>
      <c r="J267" s="120"/>
    </row>
    <row r="268" ht="15.75" customHeight="1">
      <c r="A268" s="3" t="s">
        <v>25</v>
      </c>
      <c r="B268" s="4"/>
      <c r="C268" s="4"/>
      <c r="D268" s="4"/>
      <c r="E268" s="4"/>
      <c r="F268" s="5"/>
      <c r="G268" s="3" t="s">
        <v>2</v>
      </c>
      <c r="H268" s="5"/>
      <c r="J268" s="120"/>
    </row>
    <row r="269" ht="15.75" customHeight="1">
      <c r="A269" s="3" t="s">
        <v>3</v>
      </c>
      <c r="B269" s="4" t="s">
        <v>4</v>
      </c>
      <c r="C269" s="4" t="s">
        <v>5</v>
      </c>
      <c r="D269" s="4" t="s">
        <v>6</v>
      </c>
      <c r="E269" s="4" t="s">
        <v>7</v>
      </c>
      <c r="F269" s="6" t="s">
        <v>8</v>
      </c>
      <c r="G269" s="3" t="s">
        <v>9</v>
      </c>
      <c r="H269" s="5" t="s">
        <v>10</v>
      </c>
      <c r="J269" s="120"/>
    </row>
    <row r="270" ht="15.75" customHeight="1">
      <c r="A270" s="80" t="s">
        <v>394</v>
      </c>
      <c r="B270" s="29" t="s">
        <v>133</v>
      </c>
      <c r="C270" s="29" t="s">
        <v>145</v>
      </c>
      <c r="D270" s="29">
        <v>7.0</v>
      </c>
      <c r="E270" s="29" t="s">
        <v>63</v>
      </c>
      <c r="F270" s="31" t="s">
        <v>395</v>
      </c>
      <c r="G270" s="32">
        <v>45912.0</v>
      </c>
      <c r="H270" s="81">
        <v>45915.0</v>
      </c>
      <c r="J270" s="120"/>
    </row>
    <row r="271" ht="15.75" customHeight="1">
      <c r="A271" s="28">
        <v>44.0</v>
      </c>
      <c r="B271" s="29" t="s">
        <v>396</v>
      </c>
      <c r="C271" s="29" t="s">
        <v>12</v>
      </c>
      <c r="D271" s="29">
        <v>4.0</v>
      </c>
      <c r="E271" s="29" t="s">
        <v>63</v>
      </c>
      <c r="F271" s="31" t="s">
        <v>397</v>
      </c>
      <c r="G271" s="32">
        <v>45915.0</v>
      </c>
      <c r="H271" s="81">
        <v>45919.0</v>
      </c>
      <c r="J271" s="120"/>
    </row>
    <row r="272" ht="15.75" customHeight="1">
      <c r="A272" s="28">
        <v>44.0</v>
      </c>
      <c r="B272" s="29" t="s">
        <v>398</v>
      </c>
      <c r="C272" s="29" t="s">
        <v>12</v>
      </c>
      <c r="D272" s="29">
        <v>6.0</v>
      </c>
      <c r="E272" s="29" t="s">
        <v>63</v>
      </c>
      <c r="F272" s="31" t="s">
        <v>399</v>
      </c>
      <c r="G272" s="32">
        <v>45917.0</v>
      </c>
      <c r="H272" s="81">
        <v>45921.0</v>
      </c>
      <c r="J272" s="120"/>
    </row>
    <row r="273" ht="15.75" customHeight="1">
      <c r="A273" s="28">
        <v>44.0</v>
      </c>
      <c r="B273" s="29" t="s">
        <v>400</v>
      </c>
      <c r="C273" s="29" t="s">
        <v>12</v>
      </c>
      <c r="D273" s="29">
        <v>3.0</v>
      </c>
      <c r="E273" s="29" t="s">
        <v>63</v>
      </c>
      <c r="F273" s="31" t="s">
        <v>401</v>
      </c>
      <c r="G273" s="32">
        <v>45917.0</v>
      </c>
      <c r="H273" s="81">
        <v>45921.0</v>
      </c>
      <c r="J273" s="120"/>
    </row>
    <row r="274" ht="15.75" customHeight="1">
      <c r="A274" s="28">
        <v>44.0</v>
      </c>
      <c r="B274" s="29" t="s">
        <v>402</v>
      </c>
      <c r="C274" s="29" t="s">
        <v>12</v>
      </c>
      <c r="D274" s="29">
        <v>4.0</v>
      </c>
      <c r="E274" s="29" t="s">
        <v>63</v>
      </c>
      <c r="F274" s="31" t="s">
        <v>403</v>
      </c>
      <c r="G274" s="32">
        <v>45917.0</v>
      </c>
      <c r="H274" s="81">
        <v>45921.0</v>
      </c>
      <c r="J274" s="120"/>
    </row>
    <row r="275" ht="15.75" customHeight="1">
      <c r="A275" s="28">
        <v>44.0</v>
      </c>
      <c r="B275" s="29" t="s">
        <v>31</v>
      </c>
      <c r="C275" s="29" t="s">
        <v>12</v>
      </c>
      <c r="D275" s="29">
        <v>2.0</v>
      </c>
      <c r="E275" s="29" t="s">
        <v>63</v>
      </c>
      <c r="F275" s="34" t="s">
        <v>404</v>
      </c>
      <c r="G275" s="32">
        <v>45918.0</v>
      </c>
      <c r="H275" s="81">
        <v>45928.0</v>
      </c>
      <c r="J275" s="120"/>
    </row>
    <row r="276" ht="15.75" customHeight="1">
      <c r="A276" s="3" t="s">
        <v>25</v>
      </c>
      <c r="B276" s="4"/>
      <c r="C276" s="4"/>
      <c r="D276" s="4"/>
      <c r="E276" s="4"/>
      <c r="F276" s="5"/>
      <c r="G276" s="3" t="s">
        <v>2</v>
      </c>
      <c r="H276" s="5"/>
    </row>
    <row r="277" ht="15.75" customHeight="1">
      <c r="A277" s="3" t="s">
        <v>3</v>
      </c>
      <c r="B277" s="4" t="s">
        <v>4</v>
      </c>
      <c r="C277" s="4" t="s">
        <v>5</v>
      </c>
      <c r="D277" s="4" t="s">
        <v>6</v>
      </c>
      <c r="E277" s="4" t="s">
        <v>7</v>
      </c>
      <c r="F277" s="6" t="s">
        <v>8</v>
      </c>
      <c r="G277" s="3" t="s">
        <v>9</v>
      </c>
      <c r="H277" s="5" t="s">
        <v>10</v>
      </c>
    </row>
    <row r="278" ht="15.75" customHeight="1">
      <c r="A278" s="91" t="s">
        <v>405</v>
      </c>
      <c r="B278" s="60" t="s">
        <v>133</v>
      </c>
      <c r="C278" s="60" t="s">
        <v>134</v>
      </c>
      <c r="D278" s="60">
        <v>4.0</v>
      </c>
      <c r="E278" s="60" t="s">
        <v>63</v>
      </c>
      <c r="F278" s="62" t="s">
        <v>406</v>
      </c>
      <c r="G278" s="63">
        <v>45912.0</v>
      </c>
      <c r="H278" s="92">
        <v>45915.0</v>
      </c>
    </row>
    <row r="279" ht="15.75" customHeight="1">
      <c r="A279" s="59">
        <v>49.0</v>
      </c>
      <c r="B279" s="60" t="s">
        <v>407</v>
      </c>
      <c r="C279" s="60" t="s">
        <v>12</v>
      </c>
      <c r="D279" s="60">
        <v>3.0</v>
      </c>
      <c r="E279" s="60" t="s">
        <v>63</v>
      </c>
      <c r="F279" s="62" t="s">
        <v>408</v>
      </c>
      <c r="G279" s="63">
        <v>45915.0</v>
      </c>
      <c r="H279" s="92">
        <v>45919.0</v>
      </c>
    </row>
    <row r="280" ht="15.75" customHeight="1">
      <c r="A280" s="59">
        <v>49.0</v>
      </c>
      <c r="B280" s="60" t="s">
        <v>409</v>
      </c>
      <c r="C280" s="60" t="s">
        <v>12</v>
      </c>
      <c r="D280" s="60">
        <v>6.0</v>
      </c>
      <c r="E280" s="60" t="s">
        <v>63</v>
      </c>
      <c r="F280" s="62" t="s">
        <v>410</v>
      </c>
      <c r="G280" s="63">
        <v>45917.0</v>
      </c>
      <c r="H280" s="92">
        <v>45921.0</v>
      </c>
    </row>
    <row r="281" ht="15.75" customHeight="1">
      <c r="A281" s="59">
        <v>49.0</v>
      </c>
      <c r="B281" s="60" t="s">
        <v>411</v>
      </c>
      <c r="C281" s="60" t="s">
        <v>12</v>
      </c>
      <c r="D281" s="60">
        <v>3.0</v>
      </c>
      <c r="E281" s="60" t="s">
        <v>63</v>
      </c>
      <c r="F281" s="62" t="s">
        <v>412</v>
      </c>
      <c r="G281" s="63">
        <v>45917.0</v>
      </c>
      <c r="H281" s="92">
        <v>45921.0</v>
      </c>
    </row>
    <row r="282" ht="15.75" customHeight="1">
      <c r="A282" s="59">
        <v>49.0</v>
      </c>
      <c r="B282" s="60" t="s">
        <v>413</v>
      </c>
      <c r="C282" s="60" t="s">
        <v>12</v>
      </c>
      <c r="D282" s="60">
        <v>3.0</v>
      </c>
      <c r="E282" s="60" t="s">
        <v>63</v>
      </c>
      <c r="F282" s="93" t="s">
        <v>414</v>
      </c>
      <c r="G282" s="63">
        <v>45917.0</v>
      </c>
      <c r="H282" s="92">
        <v>45922.0</v>
      </c>
    </row>
    <row r="283" ht="15.75" customHeight="1">
      <c r="A283" s="3" t="s">
        <v>25</v>
      </c>
      <c r="B283" s="4"/>
      <c r="C283" s="4"/>
      <c r="D283" s="4"/>
      <c r="E283" s="4"/>
      <c r="F283" s="5"/>
      <c r="G283" s="3" t="s">
        <v>2</v>
      </c>
      <c r="H283" s="5"/>
    </row>
    <row r="284" ht="15.75" customHeight="1">
      <c r="A284" s="3" t="s">
        <v>3</v>
      </c>
      <c r="B284" s="4" t="s">
        <v>4</v>
      </c>
      <c r="C284" s="4" t="s">
        <v>5</v>
      </c>
      <c r="D284" s="4" t="s">
        <v>6</v>
      </c>
      <c r="E284" s="4" t="s">
        <v>7</v>
      </c>
      <c r="F284" s="6" t="s">
        <v>8</v>
      </c>
      <c r="G284" s="3" t="s">
        <v>9</v>
      </c>
      <c r="H284" s="5" t="s">
        <v>10</v>
      </c>
    </row>
    <row r="285" ht="15.75" customHeight="1">
      <c r="A285" s="105" t="s">
        <v>415</v>
      </c>
      <c r="B285" s="106" t="s">
        <v>133</v>
      </c>
      <c r="C285" s="106" t="s">
        <v>134</v>
      </c>
      <c r="D285" s="106">
        <v>4.0</v>
      </c>
      <c r="E285" s="106" t="s">
        <v>63</v>
      </c>
      <c r="F285" s="107" t="s">
        <v>416</v>
      </c>
      <c r="G285" s="108">
        <v>45912.0</v>
      </c>
      <c r="H285" s="109">
        <v>45915.0</v>
      </c>
    </row>
    <row r="286" ht="15.75" customHeight="1">
      <c r="A286" s="111">
        <v>51.0</v>
      </c>
      <c r="B286" s="106" t="s">
        <v>417</v>
      </c>
      <c r="C286" s="106" t="s">
        <v>12</v>
      </c>
      <c r="D286" s="106">
        <v>6.0</v>
      </c>
      <c r="E286" s="106" t="s">
        <v>63</v>
      </c>
      <c r="F286" s="107" t="s">
        <v>418</v>
      </c>
      <c r="G286" s="108">
        <v>45915.0</v>
      </c>
      <c r="H286" s="109">
        <v>45919.0</v>
      </c>
    </row>
    <row r="287" ht="15.75" customHeight="1">
      <c r="A287" s="111">
        <v>51.0</v>
      </c>
      <c r="B287" s="106" t="s">
        <v>231</v>
      </c>
      <c r="C287" s="106" t="s">
        <v>12</v>
      </c>
      <c r="D287" s="106">
        <v>5.0</v>
      </c>
      <c r="E287" s="106" t="s">
        <v>63</v>
      </c>
      <c r="F287" s="107" t="s">
        <v>419</v>
      </c>
      <c r="G287" s="108">
        <v>45917.0</v>
      </c>
      <c r="H287" s="109">
        <v>45921.0</v>
      </c>
    </row>
    <row r="288" ht="15.75" customHeight="1">
      <c r="A288" s="111">
        <v>51.0</v>
      </c>
      <c r="B288" s="106" t="s">
        <v>420</v>
      </c>
      <c r="C288" s="106" t="s">
        <v>12</v>
      </c>
      <c r="D288" s="106">
        <v>3.0</v>
      </c>
      <c r="E288" s="106" t="s">
        <v>63</v>
      </c>
      <c r="F288" s="107" t="s">
        <v>421</v>
      </c>
      <c r="G288" s="108">
        <v>45917.0</v>
      </c>
      <c r="H288" s="109">
        <v>45921.0</v>
      </c>
    </row>
    <row r="289" ht="15.75" customHeight="1">
      <c r="A289" s="122">
        <v>51.0</v>
      </c>
      <c r="B289" s="123" t="s">
        <v>422</v>
      </c>
      <c r="C289" s="123" t="s">
        <v>12</v>
      </c>
      <c r="D289" s="123">
        <v>3.0</v>
      </c>
      <c r="E289" s="106" t="s">
        <v>63</v>
      </c>
      <c r="F289" s="112" t="s">
        <v>423</v>
      </c>
      <c r="G289" s="124">
        <v>45917.0</v>
      </c>
      <c r="H289" s="125">
        <v>45929.0</v>
      </c>
    </row>
    <row r="290" ht="15.75" customHeight="1">
      <c r="A290" s="126" t="s">
        <v>25</v>
      </c>
      <c r="B290" s="127"/>
      <c r="C290" s="127"/>
      <c r="D290" s="127"/>
      <c r="E290" s="127"/>
      <c r="F290" s="128"/>
      <c r="G290" s="126" t="s">
        <v>2</v>
      </c>
      <c r="H290" s="127"/>
    </row>
    <row r="291" ht="15.75" customHeight="1">
      <c r="A291" s="126" t="s">
        <v>3</v>
      </c>
      <c r="B291" s="127" t="s">
        <v>4</v>
      </c>
      <c r="C291" s="127" t="s">
        <v>5</v>
      </c>
      <c r="D291" s="127" t="s">
        <v>6</v>
      </c>
      <c r="E291" s="127" t="s">
        <v>7</v>
      </c>
      <c r="F291" s="129" t="s">
        <v>8</v>
      </c>
      <c r="G291" s="126" t="s">
        <v>9</v>
      </c>
      <c r="H291" s="127" t="s">
        <v>10</v>
      </c>
    </row>
    <row r="292" ht="15.75" customHeight="1">
      <c r="A292" s="130" t="s">
        <v>424</v>
      </c>
      <c r="B292" s="131" t="s">
        <v>133</v>
      </c>
      <c r="C292" s="131" t="s">
        <v>134</v>
      </c>
      <c r="D292" s="132">
        <v>4.0</v>
      </c>
      <c r="E292" s="131" t="s">
        <v>63</v>
      </c>
      <c r="F292" s="133" t="s">
        <v>425</v>
      </c>
      <c r="G292" s="39">
        <v>45912.0</v>
      </c>
      <c r="H292" s="39">
        <v>45915.0</v>
      </c>
    </row>
    <row r="293" ht="15.75" customHeight="1">
      <c r="A293" s="134">
        <v>45.0</v>
      </c>
      <c r="B293" s="131" t="s">
        <v>426</v>
      </c>
      <c r="C293" s="131" t="s">
        <v>12</v>
      </c>
      <c r="D293" s="132">
        <v>6.0</v>
      </c>
      <c r="E293" s="131" t="s">
        <v>63</v>
      </c>
      <c r="F293" s="133" t="s">
        <v>427</v>
      </c>
      <c r="G293" s="39">
        <v>45915.0</v>
      </c>
      <c r="H293" s="39">
        <v>45919.0</v>
      </c>
    </row>
    <row r="294" ht="15.75" customHeight="1">
      <c r="A294" s="134">
        <v>45.0</v>
      </c>
      <c r="B294" s="131" t="s">
        <v>428</v>
      </c>
      <c r="C294" s="131" t="s">
        <v>12</v>
      </c>
      <c r="D294" s="132">
        <v>5.0</v>
      </c>
      <c r="E294" s="131" t="s">
        <v>63</v>
      </c>
      <c r="F294" s="133" t="s">
        <v>426</v>
      </c>
      <c r="G294" s="135">
        <v>45916.0</v>
      </c>
      <c r="H294" s="39">
        <v>45921.0</v>
      </c>
    </row>
    <row r="295" ht="15.75" customHeight="1">
      <c r="A295" s="134">
        <v>45.0</v>
      </c>
      <c r="B295" s="131" t="s">
        <v>429</v>
      </c>
      <c r="C295" s="131" t="s">
        <v>12</v>
      </c>
      <c r="D295" s="132">
        <v>3.0</v>
      </c>
      <c r="E295" s="131" t="s">
        <v>63</v>
      </c>
      <c r="F295" s="133" t="s">
        <v>430</v>
      </c>
      <c r="G295" s="39">
        <v>45917.0</v>
      </c>
      <c r="H295" s="39">
        <v>45921.0</v>
      </c>
    </row>
    <row r="296" ht="15.75" customHeight="1">
      <c r="A296" s="134">
        <v>45.0</v>
      </c>
      <c r="B296" s="136" t="s">
        <v>431</v>
      </c>
      <c r="C296" s="136" t="s">
        <v>12</v>
      </c>
      <c r="D296" s="137">
        <v>3.0</v>
      </c>
      <c r="E296" s="136" t="s">
        <v>63</v>
      </c>
      <c r="F296" s="138" t="s">
        <v>432</v>
      </c>
      <c r="G296" s="135">
        <v>45917.0</v>
      </c>
      <c r="H296" s="139">
        <v>45929.0</v>
      </c>
    </row>
    <row r="297" ht="15.75" customHeight="1">
      <c r="A297" s="126" t="s">
        <v>25</v>
      </c>
      <c r="B297" s="127"/>
      <c r="C297" s="127"/>
      <c r="D297" s="127"/>
      <c r="E297" s="127"/>
      <c r="F297" s="128"/>
      <c r="G297" s="126" t="s">
        <v>2</v>
      </c>
      <c r="H297" s="127"/>
    </row>
    <row r="298" ht="15.75" customHeight="1">
      <c r="A298" s="126" t="s">
        <v>3</v>
      </c>
      <c r="B298" s="127" t="s">
        <v>4</v>
      </c>
      <c r="C298" s="127" t="s">
        <v>5</v>
      </c>
      <c r="D298" s="127" t="s">
        <v>6</v>
      </c>
      <c r="E298" s="127" t="s">
        <v>7</v>
      </c>
      <c r="F298" s="129" t="s">
        <v>8</v>
      </c>
      <c r="G298" s="126" t="s">
        <v>9</v>
      </c>
      <c r="H298" s="127" t="s">
        <v>10</v>
      </c>
    </row>
    <row r="299" ht="15.75" customHeight="1">
      <c r="A299" s="140" t="s">
        <v>433</v>
      </c>
      <c r="B299" s="141" t="s">
        <v>133</v>
      </c>
      <c r="C299" s="142" t="s">
        <v>134</v>
      </c>
      <c r="D299" s="143">
        <v>4.0</v>
      </c>
      <c r="E299" s="142" t="s">
        <v>63</v>
      </c>
      <c r="F299" s="144" t="s">
        <v>416</v>
      </c>
      <c r="G299" s="69">
        <v>45912.0</v>
      </c>
      <c r="H299" s="69">
        <v>45915.0</v>
      </c>
    </row>
    <row r="300" ht="15.75" customHeight="1">
      <c r="A300" s="145">
        <v>46.0</v>
      </c>
      <c r="B300" s="141" t="s">
        <v>434</v>
      </c>
      <c r="C300" s="142" t="s">
        <v>12</v>
      </c>
      <c r="D300" s="143">
        <v>6.0</v>
      </c>
      <c r="E300" s="142" t="s">
        <v>63</v>
      </c>
      <c r="F300" s="146" t="s">
        <v>435</v>
      </c>
      <c r="G300" s="69">
        <v>45915.0</v>
      </c>
      <c r="H300" s="69">
        <v>45919.0</v>
      </c>
    </row>
    <row r="301" ht="15.75" customHeight="1">
      <c r="A301" s="145">
        <v>46.0</v>
      </c>
      <c r="B301" s="141" t="s">
        <v>436</v>
      </c>
      <c r="C301" s="142" t="s">
        <v>12</v>
      </c>
      <c r="D301" s="143">
        <v>5.0</v>
      </c>
      <c r="E301" s="142" t="s">
        <v>63</v>
      </c>
      <c r="F301" s="146" t="s">
        <v>437</v>
      </c>
      <c r="G301" s="69">
        <v>45917.0</v>
      </c>
      <c r="H301" s="147">
        <v>45921.0</v>
      </c>
    </row>
    <row r="302" ht="15.75" customHeight="1">
      <c r="A302" s="145">
        <v>46.0</v>
      </c>
      <c r="B302" s="141" t="s">
        <v>438</v>
      </c>
      <c r="C302" s="142" t="s">
        <v>12</v>
      </c>
      <c r="D302" s="143">
        <v>3.0</v>
      </c>
      <c r="E302" s="142" t="s">
        <v>63</v>
      </c>
      <c r="F302" s="146" t="s">
        <v>439</v>
      </c>
      <c r="G302" s="69">
        <v>45917.0</v>
      </c>
      <c r="H302" s="147">
        <v>45921.0</v>
      </c>
    </row>
    <row r="303" ht="15.75" customHeight="1">
      <c r="A303" s="145">
        <v>46.0</v>
      </c>
      <c r="B303" s="141" t="s">
        <v>440</v>
      </c>
      <c r="C303" s="142" t="s">
        <v>12</v>
      </c>
      <c r="D303" s="143">
        <v>3.0</v>
      </c>
      <c r="E303" s="142" t="s">
        <v>63</v>
      </c>
      <c r="F303" s="146" t="s">
        <v>441</v>
      </c>
      <c r="G303" s="69">
        <v>45917.0</v>
      </c>
      <c r="H303" s="147">
        <v>45921.0</v>
      </c>
    </row>
    <row r="304" ht="15.75" customHeight="1">
      <c r="A304" s="148">
        <v>46.0</v>
      </c>
      <c r="B304" s="149" t="s">
        <v>442</v>
      </c>
      <c r="C304" s="150" t="s">
        <v>12</v>
      </c>
      <c r="D304" s="151">
        <v>3.0</v>
      </c>
      <c r="E304" s="150" t="s">
        <v>63</v>
      </c>
      <c r="F304" s="152" t="s">
        <v>443</v>
      </c>
      <c r="G304" s="153">
        <v>45917.0</v>
      </c>
      <c r="H304" s="154">
        <v>45929.0</v>
      </c>
    </row>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155" t="s">
        <v>444</v>
      </c>
      <c r="B1" s="155" t="s">
        <v>445</v>
      </c>
      <c r="C1" s="156" t="s">
        <v>446</v>
      </c>
      <c r="D1" s="157" t="s">
        <v>447</v>
      </c>
      <c r="E1" s="158"/>
      <c r="F1" s="158"/>
    </row>
    <row r="2" ht="15.75" customHeight="1">
      <c r="A2" s="159">
        <v>1.0</v>
      </c>
      <c r="B2" s="159">
        <v>11.0</v>
      </c>
      <c r="C2" s="160">
        <v>0.2</v>
      </c>
      <c r="D2" s="160">
        <f>C2</f>
        <v>0.2</v>
      </c>
      <c r="E2" s="158"/>
      <c r="F2" s="158"/>
    </row>
    <row r="3" ht="15.75" customHeight="1">
      <c r="A3" s="161">
        <v>2.0</v>
      </c>
      <c r="B3" s="161">
        <v>31.0</v>
      </c>
      <c r="C3" s="162">
        <v>0.6</v>
      </c>
      <c r="D3" s="162">
        <f t="shared" ref="D3:D5" si="1">D2+C3</f>
        <v>0.8</v>
      </c>
      <c r="E3" s="158"/>
      <c r="F3" s="158"/>
    </row>
    <row r="4" ht="15.75" customHeight="1">
      <c r="A4" s="163">
        <v>3.0</v>
      </c>
      <c r="B4" s="163">
        <v>8.0</v>
      </c>
      <c r="C4" s="164">
        <v>0.15</v>
      </c>
      <c r="D4" s="164">
        <f t="shared" si="1"/>
        <v>0.95</v>
      </c>
      <c r="E4" s="158"/>
      <c r="F4" s="158"/>
    </row>
    <row r="5" ht="15.75" customHeight="1">
      <c r="A5" s="165">
        <v>4.0</v>
      </c>
      <c r="B5" s="165">
        <v>2.0</v>
      </c>
      <c r="C5" s="166">
        <v>0.05</v>
      </c>
      <c r="D5" s="166">
        <f t="shared" si="1"/>
        <v>1</v>
      </c>
      <c r="E5" s="158"/>
      <c r="F5" s="158"/>
    </row>
    <row r="6" ht="15.75" customHeight="1">
      <c r="A6" s="158"/>
      <c r="B6" s="158"/>
      <c r="C6" s="158"/>
      <c r="D6" s="158"/>
      <c r="E6" s="158"/>
      <c r="F6" s="158"/>
    </row>
    <row r="7" ht="15.75" customHeight="1">
      <c r="A7" s="167" t="s">
        <v>0</v>
      </c>
      <c r="B7" s="167" t="s">
        <v>446</v>
      </c>
      <c r="C7" s="168" t="s">
        <v>447</v>
      </c>
      <c r="D7" s="158"/>
      <c r="E7" s="158"/>
      <c r="F7" s="158"/>
    </row>
    <row r="8" ht="15.75" customHeight="1">
      <c r="A8" s="169" t="s">
        <v>448</v>
      </c>
      <c r="B8" s="170">
        <v>0.02</v>
      </c>
      <c r="C8" s="171">
        <f>B8</f>
        <v>0.02</v>
      </c>
      <c r="D8" s="158"/>
      <c r="E8" s="172">
        <v>1.0</v>
      </c>
      <c r="F8" s="158"/>
    </row>
    <row r="9" ht="15.75" customHeight="1">
      <c r="A9" s="173" t="s">
        <v>449</v>
      </c>
      <c r="B9" s="174">
        <v>0.02</v>
      </c>
      <c r="C9" s="175">
        <f t="shared" ref="C9:C18" si="2">C8+B9</f>
        <v>0.04</v>
      </c>
      <c r="D9" s="158"/>
      <c r="E9" s="172">
        <f t="shared" ref="E9:E18" si="3">E8+1</f>
        <v>2</v>
      </c>
      <c r="F9" s="158"/>
    </row>
    <row r="10" ht="15.75" customHeight="1">
      <c r="A10" s="169" t="s">
        <v>450</v>
      </c>
      <c r="B10" s="176">
        <v>0.02</v>
      </c>
      <c r="C10" s="171">
        <f t="shared" si="2"/>
        <v>0.06</v>
      </c>
      <c r="D10" s="158"/>
      <c r="E10" s="172">
        <f t="shared" si="3"/>
        <v>3</v>
      </c>
      <c r="F10" s="158"/>
    </row>
    <row r="11" ht="15.75" customHeight="1">
      <c r="A11" s="173" t="s">
        <v>451</v>
      </c>
      <c r="B11" s="174">
        <v>0.02</v>
      </c>
      <c r="C11" s="175">
        <f t="shared" si="2"/>
        <v>0.08</v>
      </c>
      <c r="D11" s="158"/>
      <c r="E11" s="172">
        <f t="shared" si="3"/>
        <v>4</v>
      </c>
      <c r="F11" s="158"/>
    </row>
    <row r="12" ht="15.75" customHeight="1">
      <c r="A12" s="169" t="s">
        <v>452</v>
      </c>
      <c r="B12" s="176">
        <v>0.02</v>
      </c>
      <c r="C12" s="171">
        <f t="shared" si="2"/>
        <v>0.1</v>
      </c>
      <c r="D12" s="158"/>
      <c r="E12" s="172">
        <f t="shared" si="3"/>
        <v>5</v>
      </c>
      <c r="F12" s="158"/>
    </row>
    <row r="13" ht="15.75" customHeight="1">
      <c r="A13" s="173" t="s">
        <v>453</v>
      </c>
      <c r="B13" s="174">
        <v>0.02</v>
      </c>
      <c r="C13" s="175">
        <f t="shared" si="2"/>
        <v>0.12</v>
      </c>
      <c r="D13" s="158"/>
      <c r="E13" s="172">
        <f t="shared" si="3"/>
        <v>6</v>
      </c>
      <c r="F13" s="158"/>
    </row>
    <row r="14" ht="15.75" customHeight="1">
      <c r="A14" s="169" t="s">
        <v>454</v>
      </c>
      <c r="B14" s="176">
        <v>0.02</v>
      </c>
      <c r="C14" s="171">
        <f t="shared" si="2"/>
        <v>0.14</v>
      </c>
      <c r="D14" s="158"/>
      <c r="E14" s="172">
        <f t="shared" si="3"/>
        <v>7</v>
      </c>
      <c r="F14" s="158"/>
    </row>
    <row r="15" ht="15.75" customHeight="1">
      <c r="A15" s="173" t="s">
        <v>455</v>
      </c>
      <c r="B15" s="174">
        <v>0.02</v>
      </c>
      <c r="C15" s="175">
        <f t="shared" si="2"/>
        <v>0.16</v>
      </c>
      <c r="D15" s="158"/>
      <c r="E15" s="172">
        <f t="shared" si="3"/>
        <v>8</v>
      </c>
      <c r="F15" s="158"/>
    </row>
    <row r="16" ht="15.75" customHeight="1">
      <c r="A16" s="169" t="s">
        <v>456</v>
      </c>
      <c r="B16" s="176">
        <v>0.01</v>
      </c>
      <c r="C16" s="171">
        <f t="shared" si="2"/>
        <v>0.17</v>
      </c>
      <c r="D16" s="158"/>
      <c r="E16" s="172">
        <f t="shared" si="3"/>
        <v>9</v>
      </c>
      <c r="F16" s="158"/>
    </row>
    <row r="17" ht="15.75" customHeight="1">
      <c r="A17" s="173" t="s">
        <v>457</v>
      </c>
      <c r="B17" s="174">
        <v>0.02</v>
      </c>
      <c r="C17" s="175">
        <f t="shared" si="2"/>
        <v>0.19</v>
      </c>
      <c r="D17" s="158"/>
      <c r="E17" s="172">
        <f t="shared" si="3"/>
        <v>10</v>
      </c>
      <c r="F17" s="158"/>
    </row>
    <row r="18" ht="15.75" customHeight="1">
      <c r="A18" s="177" t="s">
        <v>458</v>
      </c>
      <c r="B18" s="178">
        <v>0.01</v>
      </c>
      <c r="C18" s="171">
        <f t="shared" si="2"/>
        <v>0.2</v>
      </c>
      <c r="D18" s="158"/>
      <c r="E18" s="172">
        <f t="shared" si="3"/>
        <v>11</v>
      </c>
      <c r="F18" s="158"/>
    </row>
    <row r="19" ht="15.75" customHeight="1">
      <c r="A19" s="179" t="s">
        <v>131</v>
      </c>
      <c r="B19" s="180" t="s">
        <v>446</v>
      </c>
      <c r="C19" s="181" t="s">
        <v>447</v>
      </c>
      <c r="D19" s="158"/>
      <c r="E19" s="158"/>
      <c r="F19" s="158"/>
    </row>
    <row r="20" ht="15.75" customHeight="1">
      <c r="A20" s="182" t="s">
        <v>459</v>
      </c>
      <c r="B20" s="183">
        <v>0.02</v>
      </c>
      <c r="C20" s="183">
        <f>C18+B20</f>
        <v>0.22</v>
      </c>
      <c r="D20" s="158"/>
      <c r="E20" s="172">
        <f>E18+1</f>
        <v>12</v>
      </c>
      <c r="F20" s="172">
        <v>1.0</v>
      </c>
    </row>
    <row r="21" ht="15.75" customHeight="1">
      <c r="A21" s="184" t="s">
        <v>460</v>
      </c>
      <c r="B21" s="185">
        <v>0.02</v>
      </c>
      <c r="C21" s="185">
        <f t="shared" ref="C21:C50" si="5">C20+B21</f>
        <v>0.24</v>
      </c>
      <c r="D21" s="158"/>
      <c r="E21" s="172">
        <f t="shared" ref="E21:F21" si="4">E20+1</f>
        <v>13</v>
      </c>
      <c r="F21" s="172">
        <f t="shared" si="4"/>
        <v>2</v>
      </c>
    </row>
    <row r="22" ht="15.75" customHeight="1">
      <c r="A22" s="182" t="s">
        <v>461</v>
      </c>
      <c r="B22" s="183">
        <v>0.02</v>
      </c>
      <c r="C22" s="183">
        <f t="shared" si="5"/>
        <v>0.26</v>
      </c>
      <c r="D22" s="158"/>
      <c r="E22" s="172">
        <f t="shared" ref="E22:F22" si="6">E21+1</f>
        <v>14</v>
      </c>
      <c r="F22" s="172">
        <f t="shared" si="6"/>
        <v>3</v>
      </c>
    </row>
    <row r="23" ht="15.75" customHeight="1">
      <c r="A23" s="184" t="s">
        <v>462</v>
      </c>
      <c r="B23" s="185">
        <v>0.02</v>
      </c>
      <c r="C23" s="185">
        <f t="shared" si="5"/>
        <v>0.28</v>
      </c>
      <c r="D23" s="158"/>
      <c r="E23" s="172">
        <f t="shared" ref="E23:F23" si="7">E22+1</f>
        <v>15</v>
      </c>
      <c r="F23" s="172">
        <f t="shared" si="7"/>
        <v>4</v>
      </c>
    </row>
    <row r="24" ht="15.75" customHeight="1">
      <c r="A24" s="182" t="s">
        <v>463</v>
      </c>
      <c r="B24" s="183">
        <v>0.02</v>
      </c>
      <c r="C24" s="183">
        <f t="shared" si="5"/>
        <v>0.3</v>
      </c>
      <c r="D24" s="158"/>
      <c r="E24" s="172">
        <f t="shared" ref="E24:F24" si="8">E23+1</f>
        <v>16</v>
      </c>
      <c r="F24" s="172">
        <f t="shared" si="8"/>
        <v>5</v>
      </c>
    </row>
    <row r="25" ht="15.75" customHeight="1">
      <c r="A25" s="184" t="s">
        <v>464</v>
      </c>
      <c r="B25" s="185">
        <v>0.02</v>
      </c>
      <c r="C25" s="185">
        <f t="shared" si="5"/>
        <v>0.32</v>
      </c>
      <c r="D25" s="158"/>
      <c r="E25" s="172">
        <f t="shared" ref="E25:F25" si="9">E24+1</f>
        <v>17</v>
      </c>
      <c r="F25" s="172">
        <f t="shared" si="9"/>
        <v>6</v>
      </c>
    </row>
    <row r="26" ht="15.75" customHeight="1">
      <c r="A26" s="182" t="s">
        <v>465</v>
      </c>
      <c r="B26" s="183">
        <v>0.02</v>
      </c>
      <c r="C26" s="183">
        <f t="shared" si="5"/>
        <v>0.34</v>
      </c>
      <c r="D26" s="158"/>
      <c r="E26" s="172">
        <f t="shared" ref="E26:F26" si="10">E25+1</f>
        <v>18</v>
      </c>
      <c r="F26" s="172">
        <f t="shared" si="10"/>
        <v>7</v>
      </c>
    </row>
    <row r="27" ht="15.75" customHeight="1">
      <c r="A27" s="184" t="s">
        <v>466</v>
      </c>
      <c r="B27" s="185">
        <v>0.02</v>
      </c>
      <c r="C27" s="185">
        <f t="shared" si="5"/>
        <v>0.36</v>
      </c>
      <c r="D27" s="158"/>
      <c r="E27" s="172">
        <f t="shared" ref="E27:F27" si="11">E26+1</f>
        <v>19</v>
      </c>
      <c r="F27" s="172">
        <f t="shared" si="11"/>
        <v>8</v>
      </c>
    </row>
    <row r="28" ht="15.75" customHeight="1">
      <c r="A28" s="182" t="s">
        <v>467</v>
      </c>
      <c r="B28" s="183">
        <v>0.02</v>
      </c>
      <c r="C28" s="183">
        <f t="shared" si="5"/>
        <v>0.38</v>
      </c>
      <c r="D28" s="158"/>
      <c r="E28" s="172">
        <f t="shared" ref="E28:F28" si="12">E27+1</f>
        <v>20</v>
      </c>
      <c r="F28" s="172">
        <f t="shared" si="12"/>
        <v>9</v>
      </c>
    </row>
    <row r="29" ht="15.75" customHeight="1">
      <c r="A29" s="184" t="s">
        <v>468</v>
      </c>
      <c r="B29" s="185">
        <v>0.02</v>
      </c>
      <c r="C29" s="185">
        <f t="shared" si="5"/>
        <v>0.4</v>
      </c>
      <c r="D29" s="158"/>
      <c r="E29" s="172">
        <f t="shared" ref="E29:F29" si="13">E28+1</f>
        <v>21</v>
      </c>
      <c r="F29" s="172">
        <f t="shared" si="13"/>
        <v>10</v>
      </c>
    </row>
    <row r="30" ht="15.75" customHeight="1">
      <c r="A30" s="182" t="s">
        <v>469</v>
      </c>
      <c r="B30" s="183">
        <v>0.02</v>
      </c>
      <c r="C30" s="183">
        <f t="shared" si="5"/>
        <v>0.42</v>
      </c>
      <c r="D30" s="158"/>
      <c r="E30" s="172">
        <f t="shared" ref="E30:F30" si="14">E29+1</f>
        <v>22</v>
      </c>
      <c r="F30" s="172">
        <f t="shared" si="14"/>
        <v>11</v>
      </c>
    </row>
    <row r="31" ht="15.75" customHeight="1">
      <c r="A31" s="184" t="s">
        <v>470</v>
      </c>
      <c r="B31" s="185">
        <v>0.02</v>
      </c>
      <c r="C31" s="185">
        <f t="shared" si="5"/>
        <v>0.44</v>
      </c>
      <c r="D31" s="158"/>
      <c r="E31" s="172">
        <f t="shared" ref="E31:F31" si="15">E30+1</f>
        <v>23</v>
      </c>
      <c r="F31" s="172">
        <f t="shared" si="15"/>
        <v>12</v>
      </c>
    </row>
    <row r="32" ht="15.75" customHeight="1">
      <c r="A32" s="182" t="s">
        <v>471</v>
      </c>
      <c r="B32" s="183">
        <v>0.02</v>
      </c>
      <c r="C32" s="183">
        <f t="shared" si="5"/>
        <v>0.46</v>
      </c>
      <c r="D32" s="158"/>
      <c r="E32" s="172">
        <f t="shared" ref="E32:F32" si="16">E31+1</f>
        <v>24</v>
      </c>
      <c r="F32" s="172">
        <f t="shared" si="16"/>
        <v>13</v>
      </c>
    </row>
    <row r="33" ht="15.75" customHeight="1">
      <c r="A33" s="184" t="s">
        <v>472</v>
      </c>
      <c r="B33" s="185">
        <v>0.02</v>
      </c>
      <c r="C33" s="185">
        <f t="shared" si="5"/>
        <v>0.48</v>
      </c>
      <c r="D33" s="158"/>
      <c r="E33" s="172">
        <f t="shared" ref="E33:F33" si="17">E32+1</f>
        <v>25</v>
      </c>
      <c r="F33" s="172">
        <f t="shared" si="17"/>
        <v>14</v>
      </c>
    </row>
    <row r="34" ht="15.75" customHeight="1">
      <c r="A34" s="182" t="s">
        <v>473</v>
      </c>
      <c r="B34" s="183">
        <v>0.02</v>
      </c>
      <c r="C34" s="183">
        <f t="shared" si="5"/>
        <v>0.5</v>
      </c>
      <c r="D34" s="158"/>
      <c r="E34" s="172">
        <f t="shared" ref="E34:F34" si="18">E33+1</f>
        <v>26</v>
      </c>
      <c r="F34" s="172">
        <f t="shared" si="18"/>
        <v>15</v>
      </c>
    </row>
    <row r="35" ht="15.75" customHeight="1">
      <c r="A35" s="184" t="s">
        <v>474</v>
      </c>
      <c r="B35" s="185">
        <v>0.01</v>
      </c>
      <c r="C35" s="185">
        <f t="shared" si="5"/>
        <v>0.51</v>
      </c>
      <c r="D35" s="158"/>
      <c r="E35" s="172">
        <f t="shared" ref="E35:F35" si="19">E34+1</f>
        <v>27</v>
      </c>
      <c r="F35" s="172">
        <f t="shared" si="19"/>
        <v>16</v>
      </c>
    </row>
    <row r="36" ht="15.75" customHeight="1">
      <c r="A36" s="182" t="s">
        <v>475</v>
      </c>
      <c r="B36" s="183">
        <v>0.02</v>
      </c>
      <c r="C36" s="183">
        <f t="shared" si="5"/>
        <v>0.53</v>
      </c>
      <c r="D36" s="158"/>
      <c r="E36" s="172">
        <f t="shared" ref="E36:F36" si="20">E35+1</f>
        <v>28</v>
      </c>
      <c r="F36" s="172">
        <f t="shared" si="20"/>
        <v>17</v>
      </c>
    </row>
    <row r="37" ht="15.75" customHeight="1">
      <c r="A37" s="184" t="s">
        <v>476</v>
      </c>
      <c r="B37" s="185">
        <v>0.02</v>
      </c>
      <c r="C37" s="185">
        <f t="shared" si="5"/>
        <v>0.55</v>
      </c>
      <c r="D37" s="158"/>
      <c r="E37" s="172">
        <f t="shared" ref="E37:F37" si="21">E36+1</f>
        <v>29</v>
      </c>
      <c r="F37" s="172">
        <f t="shared" si="21"/>
        <v>18</v>
      </c>
    </row>
    <row r="38" ht="15.75" customHeight="1">
      <c r="A38" s="182" t="s">
        <v>477</v>
      </c>
      <c r="B38" s="183">
        <v>0.02</v>
      </c>
      <c r="C38" s="183">
        <f t="shared" si="5"/>
        <v>0.57</v>
      </c>
      <c r="D38" s="158"/>
      <c r="E38" s="172">
        <f t="shared" ref="E38:F38" si="22">E37+1</f>
        <v>30</v>
      </c>
      <c r="F38" s="172">
        <f t="shared" si="22"/>
        <v>19</v>
      </c>
    </row>
    <row r="39" ht="15.75" customHeight="1">
      <c r="A39" s="184" t="s">
        <v>478</v>
      </c>
      <c r="B39" s="185">
        <v>0.02</v>
      </c>
      <c r="C39" s="185">
        <f t="shared" si="5"/>
        <v>0.59</v>
      </c>
      <c r="D39" s="158"/>
      <c r="E39" s="172">
        <f t="shared" ref="E39:F39" si="23">E38+1</f>
        <v>31</v>
      </c>
      <c r="F39" s="172">
        <f t="shared" si="23"/>
        <v>20</v>
      </c>
      <c r="G39" s="186" t="s">
        <v>479</v>
      </c>
    </row>
    <row r="40" ht="15.75" customHeight="1">
      <c r="A40" s="182" t="s">
        <v>480</v>
      </c>
      <c r="B40" s="183">
        <v>0.02</v>
      </c>
      <c r="C40" s="183">
        <f t="shared" si="5"/>
        <v>0.61</v>
      </c>
      <c r="D40" s="158"/>
      <c r="E40" s="172">
        <f t="shared" ref="E40:F40" si="24">E39+1</f>
        <v>32</v>
      </c>
      <c r="F40" s="172">
        <f t="shared" si="24"/>
        <v>21</v>
      </c>
    </row>
    <row r="41" ht="15.75" customHeight="1">
      <c r="A41" s="184" t="s">
        <v>481</v>
      </c>
      <c r="B41" s="185">
        <v>0.02</v>
      </c>
      <c r="C41" s="185">
        <f t="shared" si="5"/>
        <v>0.63</v>
      </c>
      <c r="D41" s="158"/>
      <c r="E41" s="172">
        <f t="shared" ref="E41:F41" si="25">E40+1</f>
        <v>33</v>
      </c>
      <c r="F41" s="172">
        <f t="shared" si="25"/>
        <v>22</v>
      </c>
    </row>
    <row r="42" ht="15.75" customHeight="1">
      <c r="A42" s="182" t="s">
        <v>482</v>
      </c>
      <c r="B42" s="183">
        <v>0.02</v>
      </c>
      <c r="C42" s="183">
        <f t="shared" si="5"/>
        <v>0.65</v>
      </c>
      <c r="D42" s="158"/>
      <c r="E42" s="172">
        <f t="shared" ref="E42:F42" si="26">E41+1</f>
        <v>34</v>
      </c>
      <c r="F42" s="172">
        <f t="shared" si="26"/>
        <v>23</v>
      </c>
    </row>
    <row r="43" ht="15.75" customHeight="1">
      <c r="A43" s="184" t="s">
        <v>483</v>
      </c>
      <c r="B43" s="185">
        <v>0.02</v>
      </c>
      <c r="C43" s="185">
        <f t="shared" si="5"/>
        <v>0.67</v>
      </c>
      <c r="D43" s="158"/>
      <c r="E43" s="172">
        <f t="shared" ref="E43:F43" si="27">E42+1</f>
        <v>35</v>
      </c>
      <c r="F43" s="172">
        <f t="shared" si="27"/>
        <v>24</v>
      </c>
    </row>
    <row r="44" ht="15.75" customHeight="1">
      <c r="A44" s="182" t="s">
        <v>484</v>
      </c>
      <c r="B44" s="183">
        <v>0.02</v>
      </c>
      <c r="C44" s="183">
        <f t="shared" si="5"/>
        <v>0.69</v>
      </c>
      <c r="D44" s="158"/>
      <c r="E44" s="172">
        <f t="shared" ref="E44:F44" si="28">E43+1</f>
        <v>36</v>
      </c>
      <c r="F44" s="172">
        <f t="shared" si="28"/>
        <v>25</v>
      </c>
    </row>
    <row r="45" ht="15.75" customHeight="1">
      <c r="A45" s="184" t="s">
        <v>485</v>
      </c>
      <c r="B45" s="185">
        <v>0.02</v>
      </c>
      <c r="C45" s="185">
        <f t="shared" si="5"/>
        <v>0.71</v>
      </c>
      <c r="D45" s="158"/>
      <c r="E45" s="172">
        <f t="shared" ref="E45:F45" si="29">E44+1</f>
        <v>37</v>
      </c>
      <c r="F45" s="172">
        <f t="shared" si="29"/>
        <v>26</v>
      </c>
    </row>
    <row r="46" ht="15.75" customHeight="1">
      <c r="A46" s="182" t="s">
        <v>486</v>
      </c>
      <c r="B46" s="183">
        <v>0.02</v>
      </c>
      <c r="C46" s="183">
        <f t="shared" si="5"/>
        <v>0.73</v>
      </c>
      <c r="D46" s="158"/>
      <c r="E46" s="172">
        <f t="shared" ref="E46:F46" si="30">E45+1</f>
        <v>38</v>
      </c>
      <c r="F46" s="172">
        <f t="shared" si="30"/>
        <v>27</v>
      </c>
    </row>
    <row r="47" ht="15.75" customHeight="1">
      <c r="A47" s="184" t="s">
        <v>487</v>
      </c>
      <c r="B47" s="185">
        <v>0.02</v>
      </c>
      <c r="C47" s="185">
        <f t="shared" si="5"/>
        <v>0.75</v>
      </c>
      <c r="D47" s="158"/>
      <c r="E47" s="172">
        <f t="shared" ref="E47:F47" si="31">E46+1</f>
        <v>39</v>
      </c>
      <c r="F47" s="172">
        <f t="shared" si="31"/>
        <v>28</v>
      </c>
    </row>
    <row r="48" ht="15.75" customHeight="1">
      <c r="A48" s="182" t="s">
        <v>488</v>
      </c>
      <c r="B48" s="183">
        <v>0.02</v>
      </c>
      <c r="C48" s="183">
        <f t="shared" si="5"/>
        <v>0.77</v>
      </c>
      <c r="D48" s="158"/>
      <c r="E48" s="172">
        <f t="shared" ref="E48:F48" si="32">E47+1</f>
        <v>40</v>
      </c>
      <c r="F48" s="172">
        <f t="shared" si="32"/>
        <v>29</v>
      </c>
    </row>
    <row r="49" ht="15.75" customHeight="1">
      <c r="A49" s="184" t="s">
        <v>489</v>
      </c>
      <c r="B49" s="185">
        <v>0.01</v>
      </c>
      <c r="C49" s="185">
        <f t="shared" si="5"/>
        <v>0.78</v>
      </c>
      <c r="D49" s="158"/>
      <c r="E49" s="172">
        <f t="shared" ref="E49:F49" si="33">E48+1</f>
        <v>41</v>
      </c>
      <c r="F49" s="172">
        <f t="shared" si="33"/>
        <v>30</v>
      </c>
    </row>
    <row r="50" ht="15.75" customHeight="1">
      <c r="A50" s="182" t="s">
        <v>490</v>
      </c>
      <c r="B50" s="183">
        <v>0.02</v>
      </c>
      <c r="C50" s="183">
        <f t="shared" si="5"/>
        <v>0.8</v>
      </c>
      <c r="D50" s="158"/>
      <c r="E50" s="172">
        <f t="shared" ref="E50:F50" si="34">E49+1</f>
        <v>42</v>
      </c>
      <c r="F50" s="172">
        <f t="shared" si="34"/>
        <v>31</v>
      </c>
    </row>
    <row r="51" ht="15.75" customHeight="1">
      <c r="A51" s="187" t="s">
        <v>491</v>
      </c>
      <c r="B51" s="187" t="s">
        <v>446</v>
      </c>
      <c r="C51" s="188" t="s">
        <v>447</v>
      </c>
      <c r="D51" s="158"/>
      <c r="E51" s="158"/>
      <c r="F51" s="158"/>
    </row>
    <row r="52" ht="15.75" customHeight="1">
      <c r="A52" s="189" t="s">
        <v>492</v>
      </c>
      <c r="B52" s="190">
        <v>0.02</v>
      </c>
      <c r="C52" s="190">
        <f>C50+B52</f>
        <v>0.82</v>
      </c>
      <c r="D52" s="158"/>
      <c r="E52" s="172">
        <f>E50+1</f>
        <v>43</v>
      </c>
      <c r="F52" s="172">
        <v>1.0</v>
      </c>
    </row>
    <row r="53" ht="15.75" customHeight="1">
      <c r="A53" s="191" t="s">
        <v>493</v>
      </c>
      <c r="B53" s="192">
        <v>0.02</v>
      </c>
      <c r="C53" s="192">
        <f t="shared" ref="C53:C59" si="36">C52+B53</f>
        <v>0.84</v>
      </c>
      <c r="D53" s="158"/>
      <c r="E53" s="172">
        <f t="shared" ref="E53:F53" si="35">E52+1</f>
        <v>44</v>
      </c>
      <c r="F53" s="172">
        <f t="shared" si="35"/>
        <v>2</v>
      </c>
    </row>
    <row r="54" ht="15.75" customHeight="1">
      <c r="A54" s="189" t="s">
        <v>494</v>
      </c>
      <c r="B54" s="193">
        <v>0.02</v>
      </c>
      <c r="C54" s="193">
        <f t="shared" si="36"/>
        <v>0.86</v>
      </c>
      <c r="D54" s="158"/>
      <c r="E54" s="172">
        <f t="shared" ref="E54:F54" si="37">E53+1</f>
        <v>45</v>
      </c>
      <c r="F54" s="172">
        <f t="shared" si="37"/>
        <v>3</v>
      </c>
    </row>
    <row r="55" ht="15.75" customHeight="1">
      <c r="A55" s="191" t="s">
        <v>495</v>
      </c>
      <c r="B55" s="192">
        <v>0.02</v>
      </c>
      <c r="C55" s="192">
        <f t="shared" si="36"/>
        <v>0.88</v>
      </c>
      <c r="D55" s="158"/>
      <c r="E55" s="172">
        <f t="shared" ref="E55:F55" si="38">E54+1</f>
        <v>46</v>
      </c>
      <c r="F55" s="172">
        <f t="shared" si="38"/>
        <v>4</v>
      </c>
    </row>
    <row r="56" ht="15.75" customHeight="1">
      <c r="A56" s="189" t="s">
        <v>496</v>
      </c>
      <c r="B56" s="193">
        <v>0.01</v>
      </c>
      <c r="C56" s="193">
        <f t="shared" si="36"/>
        <v>0.89</v>
      </c>
      <c r="D56" s="158"/>
      <c r="E56" s="172">
        <f t="shared" ref="E56:F56" si="39">E55+1</f>
        <v>47</v>
      </c>
      <c r="F56" s="172">
        <f t="shared" si="39"/>
        <v>5</v>
      </c>
    </row>
    <row r="57" ht="15.75" customHeight="1">
      <c r="A57" s="191" t="s">
        <v>497</v>
      </c>
      <c r="B57" s="192">
        <v>0.02</v>
      </c>
      <c r="C57" s="192">
        <f t="shared" si="36"/>
        <v>0.91</v>
      </c>
      <c r="D57" s="158"/>
      <c r="E57" s="172">
        <f t="shared" ref="E57:F57" si="40">E56+1</f>
        <v>48</v>
      </c>
      <c r="F57" s="172">
        <f t="shared" si="40"/>
        <v>6</v>
      </c>
    </row>
    <row r="58" ht="15.75" customHeight="1">
      <c r="A58" s="189" t="s">
        <v>498</v>
      </c>
      <c r="B58" s="190">
        <v>0.02</v>
      </c>
      <c r="C58" s="190">
        <f t="shared" si="36"/>
        <v>0.93</v>
      </c>
      <c r="D58" s="158"/>
      <c r="E58" s="172">
        <f t="shared" ref="E58:F58" si="41">E57+1</f>
        <v>49</v>
      </c>
      <c r="F58" s="172">
        <f t="shared" si="41"/>
        <v>7</v>
      </c>
    </row>
    <row r="59" ht="15.75" customHeight="1">
      <c r="A59" s="191" t="s">
        <v>499</v>
      </c>
      <c r="B59" s="194">
        <v>0.02</v>
      </c>
      <c r="C59" s="194">
        <f t="shared" si="36"/>
        <v>0.95</v>
      </c>
      <c r="D59" s="158"/>
      <c r="E59" s="172">
        <f t="shared" ref="E59:F59" si="42">E58+1</f>
        <v>50</v>
      </c>
      <c r="F59" s="172">
        <f t="shared" si="42"/>
        <v>8</v>
      </c>
    </row>
    <row r="60" ht="15.75" customHeight="1">
      <c r="A60" s="195" t="s">
        <v>500</v>
      </c>
      <c r="B60" s="196" t="s">
        <v>446</v>
      </c>
      <c r="C60" s="197" t="s">
        <v>447</v>
      </c>
      <c r="D60" s="158"/>
      <c r="E60" s="158"/>
      <c r="F60" s="158"/>
    </row>
    <row r="61" ht="15.75" customHeight="1">
      <c r="A61" s="198" t="s">
        <v>501</v>
      </c>
      <c r="B61" s="199">
        <v>0.02</v>
      </c>
      <c r="C61" s="199">
        <f>C59+B61</f>
        <v>0.97</v>
      </c>
      <c r="D61" s="158"/>
      <c r="E61" s="172">
        <f>E59+1</f>
        <v>51</v>
      </c>
      <c r="F61" s="172">
        <v>1.0</v>
      </c>
    </row>
    <row r="62" ht="15.75" customHeight="1">
      <c r="A62" s="200" t="s">
        <v>502</v>
      </c>
      <c r="B62" s="201">
        <v>0.03</v>
      </c>
      <c r="C62" s="201">
        <f>C61+B62</f>
        <v>1</v>
      </c>
      <c r="D62" s="158"/>
      <c r="E62" s="172">
        <f t="shared" ref="E62:F62" si="43">E61+1</f>
        <v>52</v>
      </c>
      <c r="F62" s="172">
        <f t="shared" si="43"/>
        <v>2</v>
      </c>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